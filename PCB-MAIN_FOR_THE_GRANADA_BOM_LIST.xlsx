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H30" i="1" l="1"/>
  <c r="H29" i="1"/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 l="1"/>
  <c r="H4" i="1"/>
  <c r="H5" i="1"/>
  <c r="H6" i="1"/>
  <c r="H7" i="1"/>
  <c r="H8" i="1"/>
  <c r="H9" i="1"/>
  <c r="H10" i="1"/>
  <c r="H11" i="1"/>
  <c r="H2" i="1"/>
  <c r="H32" i="1" l="1"/>
  <c r="H33" i="1" s="1"/>
  <c r="H34" i="1" s="1"/>
</calcChain>
</file>

<file path=xl/sharedStrings.xml><?xml version="1.0" encoding="utf-8"?>
<sst xmlns="http://schemas.openxmlformats.org/spreadsheetml/2006/main" count="127" uniqueCount="110">
  <si>
    <t>sıra</t>
  </si>
  <si>
    <t>malzeme</t>
  </si>
  <si>
    <t>stok kod</t>
  </si>
  <si>
    <t>adet</t>
  </si>
  <si>
    <t>birim</t>
  </si>
  <si>
    <t>fiyat</t>
  </si>
  <si>
    <t>parça no</t>
  </si>
  <si>
    <t>ürün açıklaması</t>
  </si>
  <si>
    <t>GENEL TOPLAM ($)</t>
  </si>
  <si>
    <t>TOPLAM ($)</t>
  </si>
  <si>
    <t>HL-PST-1608S9AC</t>
  </si>
  <si>
    <t>MBR0520-HT</t>
  </si>
  <si>
    <t>DIODE SCHOTTKY 500mA 20V SOD123 HOTTECH</t>
  </si>
  <si>
    <t>M7-KT</t>
  </si>
  <si>
    <t>DIODE STAND. Single 1A 1000V SMT DO214AC (SMA)</t>
  </si>
  <si>
    <t>PIN HEADER 6PIN(2x3) 2.54mm THT V/T</t>
  </si>
  <si>
    <t>AS49S-16M-FC160F3</t>
  </si>
  <si>
    <t>CRYSTAL 16MHZ HC49S 16pF 20ppm SHORT BULK ANSEN</t>
  </si>
  <si>
    <t>U1</t>
  </si>
  <si>
    <t>F1</t>
  </si>
  <si>
    <t>X1</t>
  </si>
  <si>
    <t>Q1</t>
  </si>
  <si>
    <t>PCB</t>
  </si>
  <si>
    <t>C1-C2</t>
  </si>
  <si>
    <t>R1,R3</t>
  </si>
  <si>
    <t>R2,R4</t>
  </si>
  <si>
    <t>R5-R7</t>
  </si>
  <si>
    <t>D1-D2</t>
  </si>
  <si>
    <t>D5</t>
  </si>
  <si>
    <t>220VAC</t>
  </si>
  <si>
    <t>CP1</t>
  </si>
  <si>
    <t>CP2</t>
  </si>
  <si>
    <t>CP3</t>
  </si>
  <si>
    <t>D / E</t>
  </si>
  <si>
    <t>DP1</t>
  </si>
  <si>
    <t>EXTERNAL I/O -1-EXTERNAL I/O -2</t>
  </si>
  <si>
    <t>I / O</t>
  </si>
  <si>
    <t>R-RST</t>
  </si>
  <si>
    <t>RES1</t>
  </si>
  <si>
    <t>RESET</t>
  </si>
  <si>
    <t>RL1</t>
  </si>
  <si>
    <t>RN1-RN2</t>
  </si>
  <si>
    <t>SERIAL,SPI</t>
  </si>
  <si>
    <t>U-PWR</t>
  </si>
  <si>
    <t>VR1</t>
  </si>
  <si>
    <t>X1C1-X1C2</t>
  </si>
  <si>
    <t>100nF</t>
  </si>
  <si>
    <t>1K</t>
  </si>
  <si>
    <t>470</t>
  </si>
  <si>
    <t>10K</t>
  </si>
  <si>
    <t>ATMEGA328P</t>
  </si>
  <si>
    <t>BC848A</t>
  </si>
  <si>
    <t>0603 SMD LED RED</t>
  </si>
  <si>
    <t>1N4007</t>
  </si>
  <si>
    <t>DG142R-5.08-03P-14-00AH</t>
  </si>
  <si>
    <t>MEX104K275A</t>
  </si>
  <si>
    <t>TAJC227K006RNJ</t>
  </si>
  <si>
    <t>PH-1X2SG</t>
  </si>
  <si>
    <t>MBR0520-TP</t>
  </si>
  <si>
    <t>ARDUINO-SIL8</t>
  </si>
  <si>
    <t>SET1500</t>
  </si>
  <si>
    <t>DG142R-5.08-08P-14-00SH</t>
  </si>
  <si>
    <t>16MHz Resenator</t>
  </si>
  <si>
    <t>DS1042-03-1-14-KKA-16010</t>
  </si>
  <si>
    <t>JQC-3F-(T73)-1Z-5VDC</t>
  </si>
  <si>
    <t>10k</t>
  </si>
  <si>
    <t>26640601RP2</t>
  </si>
  <si>
    <t>HLK-PM01</t>
  </si>
  <si>
    <t>MOV-10D561K</t>
  </si>
  <si>
    <t>CRYSTAL</t>
  </si>
  <si>
    <t>22pF</t>
  </si>
  <si>
    <t>CL21B104KBCNNND</t>
  </si>
  <si>
    <t>MLCC (2012) 0805 100nF 50VDC ±10% X7R</t>
  </si>
  <si>
    <t>0805S8J0103T5E</t>
  </si>
  <si>
    <t>RES.(2012) 0805 10K Ohms 5% 1/8W-S 100PPM</t>
  </si>
  <si>
    <t>0805S8J0471T5E</t>
  </si>
  <si>
    <t>RES.(2012) 0805 470 Ohms 5% 1/8W-S 100PPM</t>
  </si>
  <si>
    <t>0805S8J0102T5E</t>
  </si>
  <si>
    <t>RES.(2012) 0805 1K Ohms 5% 1/8W-S 100PPM</t>
  </si>
  <si>
    <t>ATMEGA328P-AU</t>
  </si>
  <si>
    <t>IC-328 MCU 8BIT 32KB FLASH 32TQPF ATMEL</t>
  </si>
  <si>
    <t>BC848CLT1G</t>
  </si>
  <si>
    <t>TRANSISTOR DIS.100mA 30V NPN SOT23 GEN. SMT</t>
  </si>
  <si>
    <t>FUSE SMD 5A 250V 6125 TIME-LAG</t>
  </si>
  <si>
    <t>LED SMD 0603 RED 90mcd 120° WATER CLEAR</t>
  </si>
  <si>
    <t>TERM.BLK.5.08MM 3P PCB SPRING TYPE GAOSONG</t>
  </si>
  <si>
    <t>C42P2104K6SC450</t>
  </si>
  <si>
    <t>CAP.POL.100nF 275VAC 15MM 10% X2 MKP BULK FARATRON</t>
  </si>
  <si>
    <t>CAP.TANTAL 220uF 6.3V 10% C CASE (6032) SMD AVX</t>
  </si>
  <si>
    <t>L-KLS1-207-1-02-S</t>
  </si>
  <si>
    <t>PIN HEADER 2PIN(1x2) 2.54mm THT V/T</t>
  </si>
  <si>
    <t>L-KLS1-207-1-08-R2</t>
  </si>
  <si>
    <t>PIN HEADER 8PIN(1x8) 2.54mm THT R/A</t>
  </si>
  <si>
    <t>TERM.BLK.5.08MM 8P PCB SPRING TYPE GAOSONG</t>
  </si>
  <si>
    <t>CSTCE16M0V53-R0</t>
  </si>
  <si>
    <t>CRYSTAL RESONATOR 16MHZ 3.2x1.3mm 3PIN SMD MURATA</t>
  </si>
  <si>
    <t>L-KLS7-TS6601-5.0-160</t>
  </si>
  <si>
    <t>SWITCH TACT 6.00x6.00 5.00mm 160gF THT V/T</t>
  </si>
  <si>
    <t>RELAY POWER 10A 5VDC 1C PCB TYPE (JS1) 5PIN QIANJI</t>
  </si>
  <si>
    <t>RNLA08G0103B0E</t>
  </si>
  <si>
    <t>RES.NETWORK 10K Ohms 2% 1/8W SIP7+1 THT</t>
  </si>
  <si>
    <t>L-KLS1-207-2-06-S</t>
  </si>
  <si>
    <t>AC/DC CONV 3W 100-240VAC 5VDC 1A</t>
  </si>
  <si>
    <t>TVR10561KFARY</t>
  </si>
  <si>
    <t>VARISTOR DISC 10MM 560V 2500A THT</t>
  </si>
  <si>
    <t>CL31C220JHFNNNE</t>
  </si>
  <si>
    <t>MLCC (3216) 1206 22pF 630VDC ±5% C0G (NP0)</t>
  </si>
  <si>
    <t>1000 ADETTE BİRİM FİYAT</t>
  </si>
  <si>
    <t>BOX</t>
  </si>
  <si>
    <t>KDV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</si>
</sst>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2" fillId="0" borderId="1" xfId="1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left"/>
    </xf>
    <xf numFmtId="0" fontId="0" fillId="0" borderId="1" xfId="0" applyNumberFormat="1" applyFill="1" applyBorder="1" applyAlignment="1">
      <alignment horizontal="left" wrapText="1"/>
    </xf>
    <xf numFmtId="49" fontId="1" fillId="0" borderId="1" xfId="2" applyNumberFormat="1" applyBorder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0" borderId="1" xfId="1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abSelected="1" workbookViewId="0">
      <selection sqref="A1:XFD1048576"/>
    </sheetView>
  </sheetViews>
  <sheetFormatPr defaultRowHeight="15" x14ac:dyDescent="0.25"/>
  <cols>
    <col min="1" max="1" width="4" style="1" bestFit="1" customWidth="1"/>
    <col min="2" max="2" width="31" style="1" bestFit="1" customWidth="1"/>
    <col min="3" max="3" width="24.85546875" style="1" bestFit="1" customWidth="1"/>
    <col min="4" max="4" width="24.28515625" style="1" bestFit="1" customWidth="1"/>
    <col min="5" max="5" width="54.85546875" style="1" bestFit="1" customWidth="1"/>
    <col min="6" max="6" width="5" style="1" bestFit="1" customWidth="1"/>
    <col min="7" max="7" width="8" style="1" bestFit="1" customWidth="1"/>
    <col min="8" max="8" width="12.42578125" style="1" bestFit="1" customWidth="1"/>
  </cols>
  <sheetData>
    <row r="1" spans="1:8" x14ac:dyDescent="0.25">
      <c r="A1" s="3" t="s">
        <v>0</v>
      </c>
      <c r="B1" s="2" t="s">
        <v>6</v>
      </c>
      <c r="C1" s="2" t="s">
        <v>1</v>
      </c>
      <c r="D1" s="2" t="s">
        <v>2</v>
      </c>
      <c r="E1" s="2" t="s">
        <v>7</v>
      </c>
      <c r="F1" s="2" t="s">
        <v>3</v>
      </c>
      <c r="G1" s="2" t="s">
        <v>4</v>
      </c>
      <c r="H1" s="2" t="s">
        <v>5</v>
      </c>
    </row>
    <row r="2" spans="1:8" x14ac:dyDescent="0.25">
      <c r="A2" s="10">
        <v>1</v>
      </c>
      <c r="B2" s="13" t="s">
        <v>23</v>
      </c>
      <c r="C2" s="13" t="s">
        <v>46</v>
      </c>
      <c r="D2" s="11" t="s">
        <v>71</v>
      </c>
      <c r="E2" s="11" t="s">
        <v>72</v>
      </c>
      <c r="F2" s="14">
        <v>2</v>
      </c>
      <c r="G2" s="3">
        <v>8.8999999999999999E-3</v>
      </c>
      <c r="H2" s="3">
        <f>F2*G2</f>
        <v>1.78E-2</v>
      </c>
    </row>
    <row r="3" spans="1:8" x14ac:dyDescent="0.25">
      <c r="A3" s="10">
        <v>2</v>
      </c>
      <c r="B3" s="13" t="s">
        <v>24</v>
      </c>
      <c r="C3" s="13" t="s">
        <v>47</v>
      </c>
      <c r="D3" s="12" t="s">
        <v>77</v>
      </c>
      <c r="E3" s="11" t="s">
        <v>78</v>
      </c>
      <c r="F3" s="14">
        <v>2</v>
      </c>
      <c r="G3" s="3">
        <v>2.2100000000000002E-3</v>
      </c>
      <c r="H3" s="3">
        <f t="shared" ref="H3:H30" si="0">F3*G3</f>
        <v>4.4200000000000003E-3</v>
      </c>
    </row>
    <row r="4" spans="1:8" x14ac:dyDescent="0.25">
      <c r="A4" s="10">
        <v>3</v>
      </c>
      <c r="B4" s="13" t="s">
        <v>25</v>
      </c>
      <c r="C4" s="13" t="s">
        <v>48</v>
      </c>
      <c r="D4" s="11" t="s">
        <v>75</v>
      </c>
      <c r="E4" s="11" t="s">
        <v>76</v>
      </c>
      <c r="F4" s="14">
        <v>2</v>
      </c>
      <c r="G4" s="3">
        <v>2.2100000000000002E-3</v>
      </c>
      <c r="H4" s="3">
        <f t="shared" si="0"/>
        <v>4.4200000000000003E-3</v>
      </c>
    </row>
    <row r="5" spans="1:8" x14ac:dyDescent="0.25">
      <c r="A5" s="10">
        <v>4</v>
      </c>
      <c r="B5" s="13" t="s">
        <v>26</v>
      </c>
      <c r="C5" s="13" t="s">
        <v>49</v>
      </c>
      <c r="D5" s="12" t="s">
        <v>73</v>
      </c>
      <c r="E5" s="11" t="s">
        <v>74</v>
      </c>
      <c r="F5" s="14">
        <v>3</v>
      </c>
      <c r="G5" s="3">
        <v>2.2100000000000002E-3</v>
      </c>
      <c r="H5" s="3">
        <f t="shared" si="0"/>
        <v>6.6300000000000005E-3</v>
      </c>
    </row>
    <row r="6" spans="1:8" x14ac:dyDescent="0.25">
      <c r="A6" s="10">
        <v>5</v>
      </c>
      <c r="B6" s="13" t="s">
        <v>18</v>
      </c>
      <c r="C6" s="13" t="s">
        <v>50</v>
      </c>
      <c r="D6" s="11" t="s">
        <v>79</v>
      </c>
      <c r="E6" s="11" t="s">
        <v>80</v>
      </c>
      <c r="F6" s="14">
        <v>1</v>
      </c>
      <c r="G6" s="3">
        <v>2.55288</v>
      </c>
      <c r="H6" s="3">
        <f t="shared" si="0"/>
        <v>2.55288</v>
      </c>
    </row>
    <row r="7" spans="1:8" x14ac:dyDescent="0.25">
      <c r="A7" s="10">
        <v>6</v>
      </c>
      <c r="B7" s="13" t="s">
        <v>21</v>
      </c>
      <c r="C7" s="13" t="s">
        <v>51</v>
      </c>
      <c r="D7" s="11" t="s">
        <v>81</v>
      </c>
      <c r="E7" s="11" t="s">
        <v>82</v>
      </c>
      <c r="F7" s="14">
        <v>1</v>
      </c>
      <c r="G7" s="3">
        <v>3.5499999999999997E-2</v>
      </c>
      <c r="H7" s="3">
        <f t="shared" si="0"/>
        <v>3.5499999999999997E-2</v>
      </c>
    </row>
    <row r="8" spans="1:8" x14ac:dyDescent="0.25">
      <c r="A8" s="10">
        <v>7</v>
      </c>
      <c r="B8" s="13" t="s">
        <v>27</v>
      </c>
      <c r="C8" s="13" t="s">
        <v>52</v>
      </c>
      <c r="D8" s="11" t="s">
        <v>10</v>
      </c>
      <c r="E8" s="11" t="s">
        <v>84</v>
      </c>
      <c r="F8" s="14">
        <v>2</v>
      </c>
      <c r="G8" s="3">
        <v>2.7210000000000002E-2</v>
      </c>
      <c r="H8" s="3">
        <f t="shared" si="0"/>
        <v>5.4420000000000003E-2</v>
      </c>
    </row>
    <row r="9" spans="1:8" x14ac:dyDescent="0.25">
      <c r="A9" s="10">
        <v>8</v>
      </c>
      <c r="B9" s="13" t="s">
        <v>28</v>
      </c>
      <c r="C9" s="13" t="s">
        <v>53</v>
      </c>
      <c r="D9" s="11" t="s">
        <v>13</v>
      </c>
      <c r="E9" s="11" t="s">
        <v>14</v>
      </c>
      <c r="F9" s="14">
        <v>1</v>
      </c>
      <c r="G9" s="3">
        <v>1.261E-2</v>
      </c>
      <c r="H9" s="3">
        <f t="shared" si="0"/>
        <v>1.261E-2</v>
      </c>
    </row>
    <row r="10" spans="1:8" x14ac:dyDescent="0.25">
      <c r="A10" s="10">
        <v>9</v>
      </c>
      <c r="B10" s="13" t="s">
        <v>29</v>
      </c>
      <c r="C10" s="13" t="s">
        <v>54</v>
      </c>
      <c r="D10" s="11" t="s">
        <v>54</v>
      </c>
      <c r="E10" s="11" t="s">
        <v>85</v>
      </c>
      <c r="F10" s="14">
        <v>1</v>
      </c>
      <c r="G10" s="3">
        <v>0.25047000000000003</v>
      </c>
      <c r="H10" s="3">
        <f t="shared" si="0"/>
        <v>0.25047000000000003</v>
      </c>
    </row>
    <row r="11" spans="1:8" x14ac:dyDescent="0.25">
      <c r="A11" s="10">
        <v>10</v>
      </c>
      <c r="B11" s="13" t="s">
        <v>30</v>
      </c>
      <c r="C11" s="13" t="s">
        <v>55</v>
      </c>
      <c r="D11" s="11" t="s">
        <v>86</v>
      </c>
      <c r="E11" s="11" t="s">
        <v>87</v>
      </c>
      <c r="F11" s="14">
        <v>1</v>
      </c>
      <c r="G11" s="3">
        <v>7.979E-2</v>
      </c>
      <c r="H11" s="3">
        <f t="shared" si="0"/>
        <v>7.979E-2</v>
      </c>
    </row>
    <row r="12" spans="1:8" x14ac:dyDescent="0.25">
      <c r="A12" s="10">
        <v>11</v>
      </c>
      <c r="B12" s="13" t="s">
        <v>31</v>
      </c>
      <c r="C12" s="13" t="s">
        <v>56</v>
      </c>
      <c r="D12" s="6" t="s">
        <v>56</v>
      </c>
      <c r="E12" s="6" t="s">
        <v>88</v>
      </c>
      <c r="F12" s="14">
        <v>1</v>
      </c>
      <c r="G12" s="3">
        <v>0.30336999999999997</v>
      </c>
      <c r="H12" s="3">
        <f t="shared" si="0"/>
        <v>0.30336999999999997</v>
      </c>
    </row>
    <row r="13" spans="1:8" x14ac:dyDescent="0.25">
      <c r="A13" s="10">
        <v>12</v>
      </c>
      <c r="B13" s="13" t="s">
        <v>32</v>
      </c>
      <c r="C13" s="13" t="s">
        <v>46</v>
      </c>
      <c r="D13" s="11" t="s">
        <v>71</v>
      </c>
      <c r="E13" s="11" t="s">
        <v>72</v>
      </c>
      <c r="F13" s="14">
        <v>1</v>
      </c>
      <c r="G13" s="3">
        <v>8.8999999999999999E-3</v>
      </c>
      <c r="H13" s="3">
        <f t="shared" si="0"/>
        <v>8.8999999999999999E-3</v>
      </c>
    </row>
    <row r="14" spans="1:8" x14ac:dyDescent="0.25">
      <c r="A14" s="10">
        <v>13</v>
      </c>
      <c r="B14" s="13" t="s">
        <v>33</v>
      </c>
      <c r="C14" s="13" t="s">
        <v>57</v>
      </c>
      <c r="D14" s="6" t="s">
        <v>89</v>
      </c>
      <c r="E14" s="6" t="s">
        <v>90</v>
      </c>
      <c r="F14" s="14">
        <v>1</v>
      </c>
      <c r="G14" s="3">
        <v>7.0200000000000002E-3</v>
      </c>
      <c r="H14" s="3">
        <f t="shared" si="0"/>
        <v>7.0200000000000002E-3</v>
      </c>
    </row>
    <row r="15" spans="1:8" x14ac:dyDescent="0.25">
      <c r="A15" s="10">
        <v>14</v>
      </c>
      <c r="B15" s="13" t="s">
        <v>34</v>
      </c>
      <c r="C15" s="13" t="s">
        <v>58</v>
      </c>
      <c r="D15" s="6" t="s">
        <v>11</v>
      </c>
      <c r="E15" s="6" t="s">
        <v>12</v>
      </c>
      <c r="F15" s="14">
        <v>1</v>
      </c>
      <c r="G15" s="3">
        <v>3.5499999999999997E-2</v>
      </c>
      <c r="H15" s="3">
        <f t="shared" si="0"/>
        <v>3.5499999999999997E-2</v>
      </c>
    </row>
    <row r="16" spans="1:8" x14ac:dyDescent="0.25">
      <c r="A16" s="10">
        <v>15</v>
      </c>
      <c r="B16" s="13" t="s">
        <v>35</v>
      </c>
      <c r="C16" s="13" t="s">
        <v>59</v>
      </c>
      <c r="D16" s="6" t="s">
        <v>91</v>
      </c>
      <c r="E16" s="6" t="s">
        <v>92</v>
      </c>
      <c r="F16" s="14">
        <v>2</v>
      </c>
      <c r="G16" s="3">
        <v>3.4889999999999997E-2</v>
      </c>
      <c r="H16" s="3">
        <f t="shared" si="0"/>
        <v>6.9779999999999995E-2</v>
      </c>
    </row>
    <row r="17" spans="1:8" x14ac:dyDescent="0.25">
      <c r="A17" s="10">
        <v>16</v>
      </c>
      <c r="B17" s="13" t="s">
        <v>19</v>
      </c>
      <c r="C17" s="13" t="s">
        <v>60</v>
      </c>
      <c r="D17" s="6" t="s">
        <v>60</v>
      </c>
      <c r="E17" s="6" t="s">
        <v>83</v>
      </c>
      <c r="F17" s="14">
        <v>1</v>
      </c>
      <c r="G17" s="3">
        <v>8.6860000000000007E-2</v>
      </c>
      <c r="H17" s="3">
        <f t="shared" si="0"/>
        <v>8.6860000000000007E-2</v>
      </c>
    </row>
    <row r="18" spans="1:8" x14ac:dyDescent="0.25">
      <c r="A18" s="10">
        <v>17</v>
      </c>
      <c r="B18" s="13" t="s">
        <v>36</v>
      </c>
      <c r="C18" s="13" t="s">
        <v>61</v>
      </c>
      <c r="D18" s="6" t="s">
        <v>61</v>
      </c>
      <c r="E18" s="6" t="s">
        <v>93</v>
      </c>
      <c r="F18" s="14">
        <v>1</v>
      </c>
      <c r="G18" s="3">
        <v>0.66791999999999996</v>
      </c>
      <c r="H18" s="3">
        <f t="shared" si="0"/>
        <v>0.66791999999999996</v>
      </c>
    </row>
    <row r="19" spans="1:8" x14ac:dyDescent="0.25">
      <c r="A19" s="10">
        <v>18</v>
      </c>
      <c r="B19" s="13" t="s">
        <v>37</v>
      </c>
      <c r="C19" s="13" t="s">
        <v>49</v>
      </c>
      <c r="D19" s="12" t="s">
        <v>73</v>
      </c>
      <c r="E19" s="11" t="s">
        <v>74</v>
      </c>
      <c r="F19" s="14">
        <v>1</v>
      </c>
      <c r="G19" s="3">
        <v>2.2100000000000002E-3</v>
      </c>
      <c r="H19" s="3">
        <f t="shared" si="0"/>
        <v>2.2100000000000002E-3</v>
      </c>
    </row>
    <row r="20" spans="1:8" x14ac:dyDescent="0.25">
      <c r="A20" s="10">
        <v>19</v>
      </c>
      <c r="B20" s="13" t="s">
        <v>38</v>
      </c>
      <c r="C20" s="13" t="s">
        <v>62</v>
      </c>
      <c r="D20" s="6" t="s">
        <v>94</v>
      </c>
      <c r="E20" s="6" t="s">
        <v>95</v>
      </c>
      <c r="F20" s="14">
        <v>1</v>
      </c>
      <c r="G20" s="3">
        <v>0.30060999999999999</v>
      </c>
      <c r="H20" s="3">
        <f t="shared" si="0"/>
        <v>0.30060999999999999</v>
      </c>
    </row>
    <row r="21" spans="1:8" x14ac:dyDescent="0.25">
      <c r="A21" s="10">
        <v>20</v>
      </c>
      <c r="B21" s="13" t="s">
        <v>39</v>
      </c>
      <c r="C21" s="13" t="s">
        <v>63</v>
      </c>
      <c r="D21" s="6" t="s">
        <v>96</v>
      </c>
      <c r="E21" s="6" t="s">
        <v>97</v>
      </c>
      <c r="F21" s="14">
        <v>1</v>
      </c>
      <c r="G21" s="3">
        <v>2.5250000000000002E-2</v>
      </c>
      <c r="H21" s="3">
        <f t="shared" si="0"/>
        <v>2.5250000000000002E-2</v>
      </c>
    </row>
    <row r="22" spans="1:8" x14ac:dyDescent="0.25">
      <c r="A22" s="10">
        <v>21</v>
      </c>
      <c r="B22" s="13" t="s">
        <v>40</v>
      </c>
      <c r="C22" s="13" t="s">
        <v>64</v>
      </c>
      <c r="D22" s="6" t="s">
        <v>64</v>
      </c>
      <c r="E22" s="6" t="s">
        <v>98</v>
      </c>
      <c r="F22" s="14">
        <v>1</v>
      </c>
      <c r="G22" s="3">
        <v>0.33040000000000003</v>
      </c>
      <c r="H22" s="3">
        <f t="shared" si="0"/>
        <v>0.33040000000000003</v>
      </c>
    </row>
    <row r="23" spans="1:8" x14ac:dyDescent="0.25">
      <c r="A23" s="10">
        <v>22</v>
      </c>
      <c r="B23" s="13" t="s">
        <v>41</v>
      </c>
      <c r="C23" s="13" t="s">
        <v>65</v>
      </c>
      <c r="D23" s="6" t="s">
        <v>99</v>
      </c>
      <c r="E23" s="6" t="s">
        <v>100</v>
      </c>
      <c r="F23" s="14">
        <v>2</v>
      </c>
      <c r="G23" s="3">
        <v>5.3920000000000003E-2</v>
      </c>
      <c r="H23" s="3">
        <f t="shared" si="0"/>
        <v>0.10784000000000001</v>
      </c>
    </row>
    <row r="24" spans="1:8" x14ac:dyDescent="0.25">
      <c r="A24" s="10">
        <v>23</v>
      </c>
      <c r="B24" s="13" t="s">
        <v>42</v>
      </c>
      <c r="C24" s="13" t="s">
        <v>66</v>
      </c>
      <c r="D24" s="6" t="s">
        <v>101</v>
      </c>
      <c r="E24" s="6" t="s">
        <v>15</v>
      </c>
      <c r="F24" s="14">
        <v>2</v>
      </c>
      <c r="G24" s="3">
        <v>1.9890000000000001E-2</v>
      </c>
      <c r="H24" s="3">
        <f t="shared" si="0"/>
        <v>3.9780000000000003E-2</v>
      </c>
    </row>
    <row r="25" spans="1:8" x14ac:dyDescent="0.25">
      <c r="A25" s="10">
        <v>24</v>
      </c>
      <c r="B25" s="13" t="s">
        <v>43</v>
      </c>
      <c r="C25" s="13" t="s">
        <v>67</v>
      </c>
      <c r="D25" s="6" t="s">
        <v>67</v>
      </c>
      <c r="E25" s="6" t="s">
        <v>102</v>
      </c>
      <c r="F25" s="14">
        <v>1</v>
      </c>
      <c r="G25" s="3">
        <v>3.9203999999999999</v>
      </c>
      <c r="H25" s="3">
        <f t="shared" si="0"/>
        <v>3.9203999999999999</v>
      </c>
    </row>
    <row r="26" spans="1:8" x14ac:dyDescent="0.25">
      <c r="A26" s="10">
        <v>25</v>
      </c>
      <c r="B26" s="13" t="s">
        <v>44</v>
      </c>
      <c r="C26" s="13" t="s">
        <v>68</v>
      </c>
      <c r="D26" s="6" t="s">
        <v>103</v>
      </c>
      <c r="E26" s="6" t="s">
        <v>104</v>
      </c>
      <c r="F26" s="14">
        <v>1</v>
      </c>
      <c r="G26" s="3">
        <v>9.1619999999999993E-2</v>
      </c>
      <c r="H26" s="3">
        <f t="shared" si="0"/>
        <v>9.1619999999999993E-2</v>
      </c>
    </row>
    <row r="27" spans="1:8" x14ac:dyDescent="0.25">
      <c r="A27" s="10">
        <v>26</v>
      </c>
      <c r="B27" s="13" t="s">
        <v>20</v>
      </c>
      <c r="C27" s="13" t="s">
        <v>69</v>
      </c>
      <c r="D27" s="6" t="s">
        <v>16</v>
      </c>
      <c r="E27" s="6" t="s">
        <v>17</v>
      </c>
      <c r="F27" s="14">
        <v>1</v>
      </c>
      <c r="G27" s="3">
        <v>0.13363</v>
      </c>
      <c r="H27" s="3">
        <f t="shared" si="0"/>
        <v>0.13363</v>
      </c>
    </row>
    <row r="28" spans="1:8" x14ac:dyDescent="0.25">
      <c r="A28" s="10">
        <v>27</v>
      </c>
      <c r="B28" s="13" t="s">
        <v>45</v>
      </c>
      <c r="C28" s="13" t="s">
        <v>70</v>
      </c>
      <c r="D28" s="6" t="s">
        <v>105</v>
      </c>
      <c r="E28" s="6" t="s">
        <v>106</v>
      </c>
      <c r="F28" s="14">
        <v>2</v>
      </c>
      <c r="G28" s="3">
        <v>4.9779999999999998E-2</v>
      </c>
      <c r="H28" s="3">
        <f t="shared" si="0"/>
        <v>9.9559999999999996E-2</v>
      </c>
    </row>
    <row r="29" spans="1:8" x14ac:dyDescent="0.25">
      <c r="A29" s="10">
        <v>28</v>
      </c>
      <c r="B29" s="15" t="s">
        <v>22</v>
      </c>
      <c r="C29" s="9" t="s">
        <v>22</v>
      </c>
      <c r="D29" s="6" t="s">
        <v>22</v>
      </c>
      <c r="E29" s="6" t="s">
        <v>107</v>
      </c>
      <c r="F29" s="7">
        <v>1</v>
      </c>
      <c r="G29" s="3">
        <v>0.66700000000000004</v>
      </c>
      <c r="H29" s="3">
        <f t="shared" si="0"/>
        <v>0.66700000000000004</v>
      </c>
    </row>
    <row r="30" spans="1:8" x14ac:dyDescent="0.25">
      <c r="A30" s="10">
        <v>29</v>
      </c>
      <c r="B30" s="15" t="s">
        <v>108</v>
      </c>
      <c r="C30" s="9" t="s">
        <v>108</v>
      </c>
      <c r="D30" s="6" t="s">
        <v>108</v>
      </c>
      <c r="E30" s="6" t="s">
        <v>107</v>
      </c>
      <c r="F30" s="7">
        <v>1</v>
      </c>
      <c r="G30" s="3">
        <v>1.6</v>
      </c>
      <c r="H30" s="3">
        <f t="shared" si="0"/>
        <v>1.6</v>
      </c>
    </row>
    <row r="31" spans="1:8" x14ac:dyDescent="0.25">
      <c r="A31" s="10">
        <v>30</v>
      </c>
      <c r="B31" s="8"/>
      <c r="C31" s="3"/>
      <c r="D31" s="6"/>
      <c r="E31" s="6"/>
      <c r="F31" s="7"/>
      <c r="G31" s="3"/>
      <c r="H31" s="3"/>
    </row>
    <row r="32" spans="1:8" x14ac:dyDescent="0.25">
      <c r="A32" s="16" t="s">
        <v>9</v>
      </c>
      <c r="B32" s="16"/>
      <c r="C32" s="16"/>
      <c r="D32" s="16"/>
      <c r="E32" s="16"/>
      <c r="F32" s="16"/>
      <c r="G32" s="16"/>
      <c r="H32" s="2">
        <f>SUM(H2:H31)</f>
        <v>11.516590000000001</v>
      </c>
    </row>
    <row r="33" spans="1:8" x14ac:dyDescent="0.25">
      <c r="A33" s="17" t="s">
        <v>109</v>
      </c>
      <c r="B33" s="18"/>
      <c r="C33" s="18"/>
      <c r="D33" s="18"/>
      <c r="E33" s="18"/>
      <c r="F33" s="19"/>
      <c r="G33" s="4">
        <v>18</v>
      </c>
      <c r="H33" s="2">
        <f>H32*G33/100</f>
        <v>2.0729862000000003</v>
      </c>
    </row>
    <row r="34" spans="1:8" ht="15.75" x14ac:dyDescent="0.25">
      <c r="A34" s="20" t="s">
        <v>8</v>
      </c>
      <c r="B34" s="21"/>
      <c r="C34" s="21"/>
      <c r="D34" s="21"/>
      <c r="E34" s="21"/>
      <c r="F34" s="21"/>
      <c r="G34" s="22"/>
      <c r="H34" s="5">
        <f>SUM(H32:H33)</f>
        <v>13.589576200000002</v>
      </c>
    </row>
  </sheetData>
  <mergeCells count="3">
    <mergeCell ref="A32:G32"/>
    <mergeCell ref="A33:F33"/>
    <mergeCell ref="A34:G34"/>
  </mergeCells>
  <pageMargins left="0.70866141732283472" right="0.70866141732283472" top="0.74803149606299213" bottom="0.74803149606299213" header="0.31496062992125984" footer="0.31496062992125984"/>
  <pageSetup scale="54" orientation="portrait" r:id="rId1"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2021-02-14T10:45:03Z</dcterms:modified>
</cp:coreProperties>
</file>