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ayfa1" sheetId="1" r:id="rId1"/>
  </sheets>
  <calcPr calcId="152511"/>
</workbook>
</file>

<file path=xl/calcChain.xml><?xml version="1.0" encoding="utf-8"?>
<calcChain xmlns="http://schemas.openxmlformats.org/spreadsheetml/2006/main">
  <c r="M67" i="1" l="1"/>
  <c r="L67" i="1"/>
  <c r="J2" i="1"/>
  <c r="L62" i="1"/>
  <c r="L61" i="1"/>
  <c r="K52" i="1"/>
  <c r="H66" i="1"/>
  <c r="H65" i="1"/>
  <c r="H64" i="1"/>
  <c r="H63" i="1"/>
  <c r="M63" i="1" s="1"/>
  <c r="H62" i="1"/>
  <c r="H61" i="1"/>
  <c r="J11" i="1"/>
  <c r="J37" i="1"/>
  <c r="J67" i="1"/>
  <c r="K67" i="1"/>
  <c r="K36" i="1"/>
  <c r="H60" i="1"/>
  <c r="H59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3" i="1" l="1"/>
  <c r="H4" i="1"/>
  <c r="H5" i="1"/>
  <c r="H6" i="1"/>
  <c r="H7" i="1"/>
  <c r="H8" i="1"/>
  <c r="H9" i="1"/>
  <c r="H10" i="1"/>
  <c r="H11" i="1"/>
  <c r="H2" i="1"/>
  <c r="H67" i="1" l="1"/>
  <c r="H68" i="1" s="1"/>
  <c r="H69" i="1" s="1"/>
  <c r="K69" i="1" l="1"/>
  <c r="M69" i="1"/>
  <c r="L69" i="1"/>
  <c r="J69" i="1"/>
</calcChain>
</file>

<file path=xl/sharedStrings.xml><?xml version="1.0" encoding="utf-8"?>
<sst xmlns="http://schemas.openxmlformats.org/spreadsheetml/2006/main" count="193" uniqueCount="193">
  <si>
    <t>sıra</t>
  </si>
  <si>
    <t>malzeme</t>
  </si>
  <si>
    <t>stok kod</t>
  </si>
  <si>
    <t>adet</t>
  </si>
  <si>
    <t>birim</t>
  </si>
  <si>
    <t>fiyat</t>
  </si>
  <si>
    <t>parça no</t>
  </si>
  <si>
    <t>ürün açıklaması</t>
  </si>
  <si>
    <t>KDV</t>
  </si>
  <si>
    <t>GENEL TOPLAM ($)</t>
  </si>
  <si>
    <t>TOPLAM ($)</t>
  </si>
  <si>
    <t>CL21C220JCANNNC</t>
  </si>
  <si>
    <t>MLCC (2012) 0805 22pF 100VDC ±5% C0G (NP0)</t>
  </si>
  <si>
    <t>T491X686K025AT</t>
  </si>
  <si>
    <t>CAP.TANTAL 68uF 25V 10% 7343</t>
  </si>
  <si>
    <t>CL21C101JBANNNC</t>
  </si>
  <si>
    <t>MLCC (2012) 0805 100pF 50VDC ±5% C0G (NP0)</t>
  </si>
  <si>
    <t>C323C473J60A605</t>
  </si>
  <si>
    <t>CAP.POL.47nF 1600V 15MM 5% TB FARATRONIC</t>
  </si>
  <si>
    <t>C323C103J60A605</t>
  </si>
  <si>
    <t>CAP.POL.10nF 1600VDC 15MM 5% MKP TB FARATRONIC</t>
  </si>
  <si>
    <t>T491C106K025AT</t>
  </si>
  <si>
    <t>CAP.TANTAL 10uF 25V 10% C CASE (6032) SMD</t>
  </si>
  <si>
    <t>T491B684K035AT</t>
  </si>
  <si>
    <t>CAP.TANTAL 680uF 35V 10% B CASE (3528)</t>
  </si>
  <si>
    <t>DR2R7305R</t>
  </si>
  <si>
    <t>CAP.SUPER 3F 2.7V 8X20MM RADIAL THT</t>
  </si>
  <si>
    <t>0805S8F1002T5E</t>
  </si>
  <si>
    <t>RES.(2012) 0805 10K Ohms 1% 1/8W-S 100PPM</t>
  </si>
  <si>
    <t xml:space="preserve">0805S8F1001T5E </t>
  </si>
  <si>
    <t>RES.(2012) 0805 1K Ohms 1% 1/8W-S 100PPM</t>
  </si>
  <si>
    <t>0805S8F5600T5E</t>
  </si>
  <si>
    <t>RES.(2012) 0805 560 Ohms 1% 1/8W-S 100PPM</t>
  </si>
  <si>
    <t>0805S8F2001T5E</t>
  </si>
  <si>
    <t>RES.(2012) 0805 2K Ohms 1% 1/8W-S 100PPM</t>
  </si>
  <si>
    <t>0805S8F499JT5E</t>
  </si>
  <si>
    <t>RES.(2012) 0805 49.9 Ohms 1% 1/8W-S 200PPM</t>
  </si>
  <si>
    <t>0805S8F100JT5E</t>
  </si>
  <si>
    <t>RES.(2012) 0805 10 Ohms 1% 1/8W-S 400PPM</t>
  </si>
  <si>
    <t>0402WGJ0222TCE</t>
  </si>
  <si>
    <t>RES.(1005) 0402 2.2K Ohms 5% 1/16W 100PPM</t>
  </si>
  <si>
    <t>0402WGJ0103TCE</t>
  </si>
  <si>
    <t>RES.(1005) 0402 10K Ohms 5% 1/16W 100PPM</t>
  </si>
  <si>
    <t>0402WGJ0221TCE</t>
  </si>
  <si>
    <t>RES.(1005) 0402 220 Ohms 5% 1/16W 100PPM</t>
  </si>
  <si>
    <t>0402WGJ0000TCE</t>
  </si>
  <si>
    <t>RES.(1005) 0402 0 Ohms 5% 1/16W 800PPM</t>
  </si>
  <si>
    <t>L7805CV-DG</t>
  </si>
  <si>
    <t>IC-7805 V.REG.+5V 1.5A TO220 DOUBLE GAUGE ST</t>
  </si>
  <si>
    <t>LM1117GS-3.3-HTC</t>
  </si>
  <si>
    <t>IC-1117 3V3 LDO SOT223 SMD</t>
  </si>
  <si>
    <t>BT138-600E-70127</t>
  </si>
  <si>
    <t>TRIAC DIS.12A 600V NONISOLATED SENSITIVITY TO220</t>
  </si>
  <si>
    <t>DI206S_R2_00001</t>
  </si>
  <si>
    <t>DIODE BRIDGE 2A 600V 1PH 4-SDIP SMT GLASS PASSIVAT</t>
  </si>
  <si>
    <t>L-KLS7-TS3603B-5.0-250-T</t>
  </si>
  <si>
    <t>SWITCH TACT 3.50x6.00 5.00mm 250gF SMT V/T</t>
  </si>
  <si>
    <t>ENC28J60-I/SO</t>
  </si>
  <si>
    <t>IC-28J60 SOIC-28 MICROCHIP</t>
  </si>
  <si>
    <t>CAT24C256WI-GT3</t>
  </si>
  <si>
    <t>IC-24C256 EEPROM CMOS SMD SO8 TR ON</t>
  </si>
  <si>
    <t>HL-PST-1608S9AC</t>
  </si>
  <si>
    <t>LED SMD 0603 RED WATER CLEAR 50-70mcd 130C</t>
  </si>
  <si>
    <t>BZX84C3V3,215</t>
  </si>
  <si>
    <t>DIODE ZENER 410mW 3.3V ±5% SOT23 SMT</t>
  </si>
  <si>
    <t>HL-PST-1608U51GC</t>
  </si>
  <si>
    <t>LED SMD 0603 GREEN WATER CLEAR 600-800mcd 130C</t>
  </si>
  <si>
    <t>HL-PST-1608H203BC</t>
  </si>
  <si>
    <t>LED SMD 0603 BLUE WATER CLEAR 70-100mcd 130C</t>
  </si>
  <si>
    <t>MBR0520-HT</t>
  </si>
  <si>
    <t>DIODE SCHOTTKY 500mA 20V SOD123 HOTTECH</t>
  </si>
  <si>
    <t>M7-KT</t>
  </si>
  <si>
    <t>DIODE STAND. Single 1A 1000V SMT DO214AC (SMA)</t>
  </si>
  <si>
    <t>A3-5A-F</t>
  </si>
  <si>
    <t>THERMAL FUSE 5A 250V 125C</t>
  </si>
  <si>
    <t>MOLEX-0901310123</t>
  </si>
  <si>
    <t>PIN HEADER 6PIN(2x3) 2.54mm THT V/T</t>
  </si>
  <si>
    <t>HR911105A</t>
  </si>
  <si>
    <t>MODULAR JACK THT R/A 8P8C (RJ45,Ethernet) GRAY</t>
  </si>
  <si>
    <t>AS49S-16M-FC160F3</t>
  </si>
  <si>
    <t>CRYSTAL 16MHZ HC49S 16pF 20ppm SHORT BULK ANSEN</t>
  </si>
  <si>
    <t>AS-25.000-18-F-H25</t>
  </si>
  <si>
    <t xml:space="preserve">CRYSTAL 25MHZ HC49ST 18PF SHORT BULK RALTRON </t>
  </si>
  <si>
    <t>L-KLS1-TDC-001-2.0-T</t>
  </si>
  <si>
    <t>CONNECTOR JACK DC POWER 2MM SMD</t>
  </si>
  <si>
    <t>L-KLS7-MSK-12C03</t>
  </si>
  <si>
    <t>SWITCH SLIDE 1P2T SMT R/A</t>
  </si>
  <si>
    <t>H11L1M</t>
  </si>
  <si>
    <t>IC-11L1M OPTOISO 4.17KV OPEN COLLECTOR 6DIP</t>
  </si>
  <si>
    <t>DIODE FAST SWITCHING Single 150mA 75V SMT SOD323</t>
  </si>
  <si>
    <t>C1-C2,C14-C15</t>
  </si>
  <si>
    <t>C3-C4</t>
  </si>
  <si>
    <t>C5-C10</t>
  </si>
  <si>
    <t>C12</t>
  </si>
  <si>
    <t>C13</t>
  </si>
  <si>
    <t>C16,C22</t>
  </si>
  <si>
    <t>C17-C21,C23-C24</t>
  </si>
  <si>
    <t>C27-C28</t>
  </si>
  <si>
    <t>C30-C31</t>
  </si>
  <si>
    <t>R1-R4,R12,R17-R18,R36-R37,R40</t>
  </si>
  <si>
    <t>R5</t>
  </si>
  <si>
    <t>R6,R13-R14,R29-R35,R48</t>
  </si>
  <si>
    <t>R7-R8,R15-R16,R27-R28,R38</t>
  </si>
  <si>
    <t>R9</t>
  </si>
  <si>
    <t>R10</t>
  </si>
  <si>
    <t>R11</t>
  </si>
  <si>
    <t>R19-R20</t>
  </si>
  <si>
    <t>R21</t>
  </si>
  <si>
    <t>R22,R41-R42</t>
  </si>
  <si>
    <t>R23-R26</t>
  </si>
  <si>
    <t>R39</t>
  </si>
  <si>
    <t>R45</t>
  </si>
  <si>
    <t>R46</t>
  </si>
  <si>
    <t>U1</t>
  </si>
  <si>
    <t>U2</t>
  </si>
  <si>
    <t>U3</t>
  </si>
  <si>
    <t>U4</t>
  </si>
  <si>
    <t>U5</t>
  </si>
  <si>
    <t>U6-U7</t>
  </si>
  <si>
    <t>U8</t>
  </si>
  <si>
    <t>U9</t>
  </si>
  <si>
    <t>U10</t>
  </si>
  <si>
    <t>U11</t>
  </si>
  <si>
    <t>U12-U13</t>
  </si>
  <si>
    <t>U14</t>
  </si>
  <si>
    <t>D18</t>
  </si>
  <si>
    <t>F1</t>
  </si>
  <si>
    <t>L1</t>
  </si>
  <si>
    <t>D1-D2-D8-D13</t>
  </si>
  <si>
    <t>D3-D4,D16-D17</t>
  </si>
  <si>
    <t>D5,D9,D12</t>
  </si>
  <si>
    <t>D6,D10-D11,D19</t>
  </si>
  <si>
    <t>D7</t>
  </si>
  <si>
    <t>D14-D15</t>
  </si>
  <si>
    <t>J1-J2</t>
  </si>
  <si>
    <t>J5</t>
  </si>
  <si>
    <t>J10</t>
  </si>
  <si>
    <t>X1</t>
  </si>
  <si>
    <t>X2</t>
  </si>
  <si>
    <t>J14</t>
  </si>
  <si>
    <t>C26,C29,C11,C25</t>
  </si>
  <si>
    <t>R47-R49</t>
  </si>
  <si>
    <t>J3-J4,J6-J7</t>
  </si>
  <si>
    <t>J9</t>
  </si>
  <si>
    <t>J8</t>
  </si>
  <si>
    <t>L-KLS1-207A-1-02-TC-R</t>
  </si>
  <si>
    <t>PIN HEADER 2PIN(1x2) 2.54mm SMT R/A</t>
  </si>
  <si>
    <t>DG142V-5.08-03P-14-00AH</t>
  </si>
  <si>
    <t>TERM.BLK.5.08MM 3P PCB SPRING TYPE</t>
  </si>
  <si>
    <t>DG142V-5.08-04P-14-00AH</t>
  </si>
  <si>
    <t>TERM.BLK.5.08MM 4P PCB SPRING TYPE</t>
  </si>
  <si>
    <t>DG127S-5.08-08P-14-00AH</t>
  </si>
  <si>
    <t>TERM.BLK.5.08MM 8P PCB TYPE 0 BOY GREEN GAOSONG</t>
  </si>
  <si>
    <t>R43-R44-SDA-SCL</t>
  </si>
  <si>
    <t>Q1</t>
  </si>
  <si>
    <t>10mH</t>
  </si>
  <si>
    <t>TRANSISTOR DIS.500mA 45V NPN SOT23 GEN. SMT</t>
  </si>
  <si>
    <t>BC817-40,215</t>
  </si>
  <si>
    <t>ADAPTER</t>
  </si>
  <si>
    <t>DSA-60PFB-12</t>
  </si>
  <si>
    <t>ADAPTER 5A 12V</t>
  </si>
  <si>
    <t>PCB</t>
  </si>
  <si>
    <t>1000 ADET İÇİN BİRİM FİYAT</t>
  </si>
  <si>
    <t>LAZER MODULE TX</t>
  </si>
  <si>
    <t>LAZER MODULE RX</t>
  </si>
  <si>
    <t>INFRARED MODULE</t>
  </si>
  <si>
    <t>no lan</t>
  </si>
  <si>
    <t>no lazer</t>
  </si>
  <si>
    <t>no ir</t>
  </si>
  <si>
    <t>no sensors</t>
  </si>
  <si>
    <t>CL21B103KCANNNC</t>
  </si>
  <si>
    <t>MLCC (2012) 0805 10nF 100VDC ±10% X7R</t>
  </si>
  <si>
    <t xml:space="preserve">MLCC (2012) 0805 100nF 50VDC ±10% X7R </t>
  </si>
  <si>
    <t>CL21B104KBCNNND</t>
  </si>
  <si>
    <t>0805S8J0105T5E</t>
  </si>
  <si>
    <t>RES.(2012) 0805 1M Ohms 5% 1/8W-S 100PPM</t>
  </si>
  <si>
    <t>0805S8J0471T5E</t>
  </si>
  <si>
    <t>RES.(2012) 0805 470 Ohms 5% 1/8W-S 100PPM</t>
  </si>
  <si>
    <t>1206S4F3600T5E</t>
  </si>
  <si>
    <t>RES.(3216) 1206 360 Ohms 1% 1/4W-S 100PPM</t>
  </si>
  <si>
    <t>1206S4J0471T5E</t>
  </si>
  <si>
    <t>RES.(3216) 1206 470 Ohms 5% 1/4W-S 100PPM</t>
  </si>
  <si>
    <t>1206S4J0390T5E</t>
  </si>
  <si>
    <t>RES.(3216) 1206 39 Ohms 5% 1/4W-S 200PPM</t>
  </si>
  <si>
    <t>0805S8J0000T5E</t>
  </si>
  <si>
    <t>RES.(2012) 0805 0 Ohms 5% 1/8W-S 800PPM</t>
  </si>
  <si>
    <t>ATMEGA328P-AU</t>
  </si>
  <si>
    <t>IC-328 MCU 8BIT 32KB FLASH 32TQPF ATMEL</t>
  </si>
  <si>
    <t>MOC3021M-FSC</t>
  </si>
  <si>
    <t>IC-3021 OPTOISOLATOR 4.17KV TRIAC 6DIP</t>
  </si>
  <si>
    <t>SN74LVC1G14DBVR</t>
  </si>
  <si>
    <t>IC-74LVC14 BUFFER SCHMIT TRIG SOT23-5 SMD</t>
  </si>
  <si>
    <t>1N4148WS-HT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</si>
</sst>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NumberFormat="1" applyBorder="1" applyAlignment="1">
      <alignment horizontal="left"/>
    </xf>
    <xf numFmtId="0" fontId="0" fillId="0" borderId="1" xfId="0" applyNumberFormat="1" applyBorder="1" applyAlignment="1">
      <alignment horizontal="left" wrapText="1"/>
    </xf>
    <xf numFmtId="1" fontId="0" fillId="0" borderId="1" xfId="0" applyNumberFormat="1" applyBorder="1" applyAlignment="1">
      <alignment horizontal="center"/>
    </xf>
    <xf numFmtId="49" fontId="1" fillId="0" borderId="1" xfId="1" applyNumberForma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left"/>
    </xf>
    <xf numFmtId="49" fontId="1" fillId="0" borderId="1" xfId="1" applyNumberFormat="1" applyFill="1" applyBorder="1" applyAlignment="1">
      <alignment horizontal="left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left"/>
    </xf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0" fillId="2" borderId="0" xfId="0" applyFill="1"/>
    <xf numFmtId="0" fontId="0" fillId="2" borderId="1" xfId="0" applyNumberFormat="1" applyFill="1" applyBorder="1" applyAlignment="1">
      <alignment horizontal="left"/>
    </xf>
    <xf numFmtId="0" fontId="0" fillId="2" borderId="1" xfId="0" applyNumberFormat="1" applyFill="1" applyBorder="1" applyAlignment="1">
      <alignment horizontal="left" wrapText="1"/>
    </xf>
    <xf numFmtId="0" fontId="0" fillId="2" borderId="1" xfId="0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69"/>
  <sheetViews>
    <sheetView tabSelected="1" workbookViewId="0">
      <selection activeCell="O63" sqref="O63"/>
    </sheetView>
  </sheetViews>
  <sheetFormatPr defaultRowHeight="15" x14ac:dyDescent="0.25"/>
  <cols>
    <col min="1" max="1" width="9.140625" style="1"/>
    <col min="2" max="2" width="29.140625" style="1" bestFit="1" customWidth="1"/>
    <col min="3" max="3" width="9.140625" style="1" bestFit="1" customWidth="1"/>
    <col min="4" max="4" width="24.42578125" style="1" bestFit="1" customWidth="1"/>
    <col min="5" max="5" width="51.28515625" style="1" bestFit="1" customWidth="1"/>
    <col min="6" max="8" width="9.140625" style="1"/>
    <col min="10" max="10" width="11.5703125" bestFit="1" customWidth="1"/>
  </cols>
  <sheetData>
    <row r="1" spans="1:14" x14ac:dyDescent="0.25">
      <c r="A1" s="3" t="s">
        <v>0</v>
      </c>
      <c r="B1" s="2" t="s">
        <v>6</v>
      </c>
      <c r="C1" s="2" t="s">
        <v>1</v>
      </c>
      <c r="D1" s="2" t="s">
        <v>2</v>
      </c>
      <c r="E1" s="2" t="s">
        <v>7</v>
      </c>
      <c r="F1" s="2" t="s">
        <v>3</v>
      </c>
      <c r="G1" s="2" t="s">
        <v>4</v>
      </c>
      <c r="H1" s="2" t="s">
        <v>5</v>
      </c>
      <c r="I1" s="16"/>
      <c r="J1" s="17" t="s">
        <v>169</v>
      </c>
      <c r="K1" s="17" t="s">
        <v>166</v>
      </c>
      <c r="L1" s="17" t="s">
        <v>167</v>
      </c>
      <c r="M1" s="17" t="s">
        <v>168</v>
      </c>
    </row>
    <row r="2" spans="1:14" x14ac:dyDescent="0.25">
      <c r="A2" s="14">
        <v>1</v>
      </c>
      <c r="B2" s="12" t="s">
        <v>90</v>
      </c>
      <c r="C2" s="14"/>
      <c r="D2" s="26" t="s">
        <v>11</v>
      </c>
      <c r="E2" s="15" t="s">
        <v>12</v>
      </c>
      <c r="F2" s="14">
        <v>4</v>
      </c>
      <c r="G2" s="3">
        <v>1.269E-2</v>
      </c>
      <c r="H2" s="10">
        <f>F2*G2</f>
        <v>5.076E-2</v>
      </c>
      <c r="I2" s="16"/>
      <c r="J2" s="3">
        <f>H2/2</f>
        <v>2.538E-2</v>
      </c>
      <c r="K2" s="3"/>
      <c r="L2" s="3"/>
      <c r="M2" s="3"/>
      <c r="N2" s="25"/>
    </row>
    <row r="3" spans="1:14" x14ac:dyDescent="0.25">
      <c r="A3" s="14">
        <v>2</v>
      </c>
      <c r="B3" s="12" t="s">
        <v>91</v>
      </c>
      <c r="C3" s="14"/>
      <c r="D3" s="27" t="s">
        <v>13</v>
      </c>
      <c r="E3" s="15" t="s">
        <v>14</v>
      </c>
      <c r="F3" s="14">
        <v>2</v>
      </c>
      <c r="G3" s="3">
        <v>0.91517000000000004</v>
      </c>
      <c r="H3" s="10">
        <f t="shared" ref="H3:H66" si="0">F3*G3</f>
        <v>1.8303400000000001</v>
      </c>
      <c r="I3" s="16"/>
      <c r="J3" s="3"/>
      <c r="K3" s="3"/>
      <c r="L3" s="3"/>
      <c r="M3" s="3"/>
    </row>
    <row r="4" spans="1:14" x14ac:dyDescent="0.25">
      <c r="A4" s="14">
        <v>3</v>
      </c>
      <c r="B4" s="12" t="s">
        <v>92</v>
      </c>
      <c r="C4" s="14"/>
      <c r="D4" s="26" t="s">
        <v>15</v>
      </c>
      <c r="E4" s="15" t="s">
        <v>16</v>
      </c>
      <c r="F4" s="14">
        <v>6</v>
      </c>
      <c r="G4" s="3">
        <v>1.04E-2</v>
      </c>
      <c r="H4" s="10">
        <f t="shared" si="0"/>
        <v>6.2399999999999997E-2</v>
      </c>
      <c r="I4" s="16"/>
      <c r="J4" s="3"/>
      <c r="K4" s="3"/>
      <c r="L4" s="3"/>
      <c r="M4" s="3"/>
    </row>
    <row r="5" spans="1:14" x14ac:dyDescent="0.25">
      <c r="A5" s="14">
        <v>4</v>
      </c>
      <c r="B5" s="12" t="s">
        <v>93</v>
      </c>
      <c r="C5" s="14"/>
      <c r="D5" s="26" t="s">
        <v>17</v>
      </c>
      <c r="E5" s="15" t="s">
        <v>18</v>
      </c>
      <c r="F5" s="14">
        <v>1</v>
      </c>
      <c r="G5" s="3">
        <v>0.36742999999999998</v>
      </c>
      <c r="H5" s="10">
        <f t="shared" si="0"/>
        <v>0.36742999999999998</v>
      </c>
      <c r="I5" s="16"/>
      <c r="J5" s="3"/>
      <c r="K5" s="3"/>
      <c r="L5" s="3"/>
      <c r="M5" s="3"/>
    </row>
    <row r="6" spans="1:14" x14ac:dyDescent="0.25">
      <c r="A6" s="14">
        <v>5</v>
      </c>
      <c r="B6" s="12" t="s">
        <v>94</v>
      </c>
      <c r="C6" s="14"/>
      <c r="D6" s="26" t="s">
        <v>19</v>
      </c>
      <c r="E6" s="15" t="s">
        <v>20</v>
      </c>
      <c r="F6" s="14">
        <v>1</v>
      </c>
      <c r="G6" s="3">
        <v>0.16697999999999999</v>
      </c>
      <c r="H6" s="10">
        <f t="shared" si="0"/>
        <v>0.16697999999999999</v>
      </c>
      <c r="I6" s="16"/>
      <c r="J6" s="3"/>
      <c r="K6" s="3"/>
      <c r="L6" s="3"/>
      <c r="M6" s="3"/>
    </row>
    <row r="7" spans="1:14" x14ac:dyDescent="0.25">
      <c r="A7" s="14">
        <v>6</v>
      </c>
      <c r="B7" s="12" t="s">
        <v>95</v>
      </c>
      <c r="C7" s="14"/>
      <c r="D7" s="26" t="s">
        <v>21</v>
      </c>
      <c r="E7" s="15" t="s">
        <v>22</v>
      </c>
      <c r="F7" s="14">
        <v>2</v>
      </c>
      <c r="G7" s="3">
        <v>0.25530000000000003</v>
      </c>
      <c r="H7" s="10">
        <f t="shared" si="0"/>
        <v>0.51060000000000005</v>
      </c>
      <c r="I7" s="16"/>
      <c r="J7" s="3"/>
      <c r="K7" s="3"/>
      <c r="L7" s="3"/>
      <c r="M7" s="3"/>
    </row>
    <row r="8" spans="1:14" x14ac:dyDescent="0.25">
      <c r="A8" s="14">
        <v>7</v>
      </c>
      <c r="B8" s="12" t="s">
        <v>96</v>
      </c>
      <c r="C8" s="14"/>
      <c r="D8" s="26" t="s">
        <v>170</v>
      </c>
      <c r="E8" s="15" t="s">
        <v>171</v>
      </c>
      <c r="F8" s="14">
        <v>4</v>
      </c>
      <c r="G8" s="3">
        <v>7.9299999999999995E-3</v>
      </c>
      <c r="H8" s="10">
        <f t="shared" si="0"/>
        <v>3.1719999999999998E-2</v>
      </c>
      <c r="I8" s="16"/>
      <c r="J8" s="3"/>
      <c r="K8" s="3"/>
      <c r="L8" s="3"/>
      <c r="M8" s="3"/>
    </row>
    <row r="9" spans="1:14" x14ac:dyDescent="0.25">
      <c r="A9" s="14">
        <v>8</v>
      </c>
      <c r="B9" s="12" t="s">
        <v>140</v>
      </c>
      <c r="C9" s="14"/>
      <c r="D9" s="26" t="s">
        <v>173</v>
      </c>
      <c r="E9" s="15" t="s">
        <v>172</v>
      </c>
      <c r="F9" s="14">
        <v>4</v>
      </c>
      <c r="G9" s="3">
        <v>1.0919999999999999E-2</v>
      </c>
      <c r="H9" s="10">
        <f t="shared" si="0"/>
        <v>4.3679999999999997E-2</v>
      </c>
      <c r="I9" s="16"/>
      <c r="J9" s="3"/>
      <c r="K9" s="3"/>
      <c r="L9" s="3"/>
      <c r="M9" s="3"/>
    </row>
    <row r="10" spans="1:14" x14ac:dyDescent="0.25">
      <c r="A10" s="14">
        <v>9</v>
      </c>
      <c r="B10" s="12" t="s">
        <v>97</v>
      </c>
      <c r="C10" s="14"/>
      <c r="D10" s="26" t="s">
        <v>23</v>
      </c>
      <c r="E10" s="15" t="s">
        <v>24</v>
      </c>
      <c r="F10" s="14">
        <v>2</v>
      </c>
      <c r="G10" s="3">
        <v>0.12615999999999999</v>
      </c>
      <c r="H10" s="10">
        <f t="shared" si="0"/>
        <v>0.25231999999999999</v>
      </c>
      <c r="I10" s="16"/>
      <c r="J10" s="3"/>
      <c r="K10" s="3"/>
      <c r="L10" s="3"/>
      <c r="M10" s="3"/>
      <c r="N10" s="25"/>
    </row>
    <row r="11" spans="1:14" x14ac:dyDescent="0.25">
      <c r="A11" s="14">
        <v>10</v>
      </c>
      <c r="B11" s="12" t="s">
        <v>98</v>
      </c>
      <c r="C11" s="14"/>
      <c r="D11" s="26" t="s">
        <v>25</v>
      </c>
      <c r="E11" s="15" t="s">
        <v>26</v>
      </c>
      <c r="F11" s="14">
        <v>2</v>
      </c>
      <c r="G11" s="3">
        <v>0.83489999999999998</v>
      </c>
      <c r="H11" s="10">
        <f t="shared" si="0"/>
        <v>1.6698</v>
      </c>
      <c r="I11" s="16"/>
      <c r="J11" s="3">
        <f>H11</f>
        <v>1.6698</v>
      </c>
      <c r="K11" s="3"/>
      <c r="L11" s="3"/>
      <c r="M11" s="3"/>
    </row>
    <row r="12" spans="1:14" x14ac:dyDescent="0.25">
      <c r="A12" s="14">
        <v>11</v>
      </c>
      <c r="B12" s="9" t="s">
        <v>99</v>
      </c>
      <c r="C12" s="3"/>
      <c r="D12" s="26" t="s">
        <v>27</v>
      </c>
      <c r="E12" s="6" t="s">
        <v>28</v>
      </c>
      <c r="F12" s="8">
        <v>10</v>
      </c>
      <c r="G12" s="3">
        <v>2.8600000000000001E-3</v>
      </c>
      <c r="H12" s="10">
        <f t="shared" si="0"/>
        <v>2.86E-2</v>
      </c>
      <c r="I12" s="16"/>
      <c r="J12" s="3"/>
      <c r="K12" s="3"/>
      <c r="L12" s="3"/>
      <c r="M12" s="3"/>
    </row>
    <row r="13" spans="1:14" x14ac:dyDescent="0.25">
      <c r="A13" s="14">
        <v>12</v>
      </c>
      <c r="B13" s="9" t="s">
        <v>100</v>
      </c>
      <c r="C13" s="3"/>
      <c r="D13" s="26" t="s">
        <v>174</v>
      </c>
      <c r="E13" s="6" t="s">
        <v>175</v>
      </c>
      <c r="F13" s="8">
        <v>1</v>
      </c>
      <c r="G13" s="3">
        <v>2.8600000000000001E-3</v>
      </c>
      <c r="H13" s="10">
        <f t="shared" si="0"/>
        <v>2.8600000000000001E-3</v>
      </c>
      <c r="I13" s="16"/>
      <c r="J13" s="3"/>
      <c r="K13" s="3"/>
      <c r="L13" s="3"/>
      <c r="M13" s="3"/>
    </row>
    <row r="14" spans="1:14" x14ac:dyDescent="0.25">
      <c r="A14" s="14">
        <v>13</v>
      </c>
      <c r="B14" s="9" t="s">
        <v>101</v>
      </c>
      <c r="C14" s="3"/>
      <c r="D14" s="26" t="s">
        <v>176</v>
      </c>
      <c r="E14" s="6" t="s">
        <v>177</v>
      </c>
      <c r="F14" s="8">
        <v>11</v>
      </c>
      <c r="G14" s="3">
        <v>2.2100000000000002E-3</v>
      </c>
      <c r="H14" s="10">
        <f t="shared" si="0"/>
        <v>2.4310000000000002E-2</v>
      </c>
      <c r="I14" s="16"/>
      <c r="J14" s="3"/>
      <c r="K14" s="3"/>
      <c r="L14" s="3"/>
      <c r="M14" s="3"/>
    </row>
    <row r="15" spans="1:14" x14ac:dyDescent="0.25">
      <c r="A15" s="14">
        <v>14</v>
      </c>
      <c r="B15" s="9" t="s">
        <v>102</v>
      </c>
      <c r="C15" s="3"/>
      <c r="D15" s="26" t="s">
        <v>29</v>
      </c>
      <c r="E15" s="6" t="s">
        <v>30</v>
      </c>
      <c r="F15" s="8">
        <v>7</v>
      </c>
      <c r="G15" s="3">
        <v>2.8600000000000001E-3</v>
      </c>
      <c r="H15" s="10">
        <f t="shared" si="0"/>
        <v>2.002E-2</v>
      </c>
      <c r="I15" s="16"/>
      <c r="J15" s="3"/>
      <c r="K15" s="3"/>
      <c r="L15" s="3"/>
      <c r="M15" s="3"/>
    </row>
    <row r="16" spans="1:14" x14ac:dyDescent="0.25">
      <c r="A16" s="14">
        <v>15</v>
      </c>
      <c r="B16" s="9" t="s">
        <v>103</v>
      </c>
      <c r="C16" s="3"/>
      <c r="D16" s="26" t="s">
        <v>178</v>
      </c>
      <c r="E16" s="6" t="s">
        <v>179</v>
      </c>
      <c r="F16" s="8">
        <v>1</v>
      </c>
      <c r="G16" s="3">
        <v>5.1999999999999998E-3</v>
      </c>
      <c r="H16" s="10">
        <f t="shared" si="0"/>
        <v>5.1999999999999998E-3</v>
      </c>
      <c r="I16" s="16"/>
      <c r="J16" s="3"/>
      <c r="K16" s="3"/>
      <c r="L16" s="3"/>
      <c r="M16" s="3"/>
    </row>
    <row r="17" spans="1:14" x14ac:dyDescent="0.25">
      <c r="A17" s="14">
        <v>16</v>
      </c>
      <c r="B17" s="9" t="s">
        <v>104</v>
      </c>
      <c r="C17" s="3"/>
      <c r="D17" s="26" t="s">
        <v>180</v>
      </c>
      <c r="E17" s="6" t="s">
        <v>181</v>
      </c>
      <c r="F17" s="8">
        <v>1</v>
      </c>
      <c r="G17" s="3">
        <v>3.64E-3</v>
      </c>
      <c r="H17" s="10">
        <f t="shared" si="0"/>
        <v>3.64E-3</v>
      </c>
      <c r="I17" s="16"/>
      <c r="J17" s="3"/>
      <c r="K17" s="3"/>
      <c r="L17" s="3"/>
      <c r="M17" s="3"/>
    </row>
    <row r="18" spans="1:14" x14ac:dyDescent="0.25">
      <c r="A18" s="14">
        <v>17</v>
      </c>
      <c r="B18" s="9" t="s">
        <v>105</v>
      </c>
      <c r="C18" s="3"/>
      <c r="D18" s="26" t="s">
        <v>182</v>
      </c>
      <c r="E18" s="6" t="s">
        <v>183</v>
      </c>
      <c r="F18" s="8">
        <v>1</v>
      </c>
      <c r="G18" s="3">
        <v>3.64E-3</v>
      </c>
      <c r="H18" s="10">
        <f t="shared" si="0"/>
        <v>3.64E-3</v>
      </c>
      <c r="I18" s="16"/>
      <c r="J18" s="3"/>
      <c r="K18" s="3"/>
      <c r="L18" s="3"/>
      <c r="M18" s="3"/>
    </row>
    <row r="19" spans="1:14" x14ac:dyDescent="0.25">
      <c r="A19" s="14">
        <v>18</v>
      </c>
      <c r="B19" s="9" t="s">
        <v>106</v>
      </c>
      <c r="C19" s="3"/>
      <c r="D19" s="26" t="s">
        <v>31</v>
      </c>
      <c r="E19" s="6" t="s">
        <v>32</v>
      </c>
      <c r="F19" s="8">
        <v>2</v>
      </c>
      <c r="G19" s="3">
        <v>2.8600000000000001E-3</v>
      </c>
      <c r="H19" s="10">
        <f t="shared" si="0"/>
        <v>5.7200000000000003E-3</v>
      </c>
      <c r="I19" s="16"/>
      <c r="J19" s="3"/>
      <c r="K19" s="3"/>
      <c r="L19" s="3"/>
      <c r="M19" s="3"/>
    </row>
    <row r="20" spans="1:14" x14ac:dyDescent="0.25">
      <c r="A20" s="14">
        <v>19</v>
      </c>
      <c r="B20" s="9" t="s">
        <v>107</v>
      </c>
      <c r="C20" s="3"/>
      <c r="D20" s="26" t="s">
        <v>33</v>
      </c>
      <c r="E20" s="6" t="s">
        <v>34</v>
      </c>
      <c r="F20" s="8">
        <v>1</v>
      </c>
      <c r="G20" s="3">
        <v>2.8600000000000001E-3</v>
      </c>
      <c r="H20" s="10">
        <f t="shared" si="0"/>
        <v>2.8600000000000001E-3</v>
      </c>
      <c r="I20" s="16"/>
      <c r="J20" s="3"/>
      <c r="K20" s="3"/>
      <c r="L20" s="3"/>
      <c r="M20" s="3"/>
    </row>
    <row r="21" spans="1:14" x14ac:dyDescent="0.25">
      <c r="A21" s="14">
        <v>20</v>
      </c>
      <c r="B21" s="9" t="s">
        <v>108</v>
      </c>
      <c r="C21" s="3"/>
      <c r="D21" s="26" t="s">
        <v>184</v>
      </c>
      <c r="E21" s="6" t="s">
        <v>185</v>
      </c>
      <c r="F21" s="8">
        <v>3</v>
      </c>
      <c r="G21" s="3">
        <v>2.2100000000000002E-3</v>
      </c>
      <c r="H21" s="10">
        <f t="shared" si="0"/>
        <v>6.6300000000000005E-3</v>
      </c>
      <c r="I21" s="16"/>
      <c r="J21" s="3"/>
      <c r="K21" s="3"/>
      <c r="L21" s="3"/>
      <c r="M21" s="3"/>
    </row>
    <row r="22" spans="1:14" x14ac:dyDescent="0.25">
      <c r="A22" s="14">
        <v>21</v>
      </c>
      <c r="B22" s="9" t="s">
        <v>109</v>
      </c>
      <c r="C22" s="3"/>
      <c r="D22" s="26" t="s">
        <v>35</v>
      </c>
      <c r="E22" s="6" t="s">
        <v>36</v>
      </c>
      <c r="F22" s="8">
        <v>4</v>
      </c>
      <c r="G22" s="3">
        <v>2.8600000000000001E-3</v>
      </c>
      <c r="H22" s="10">
        <f t="shared" si="0"/>
        <v>1.1440000000000001E-2</v>
      </c>
      <c r="I22" s="16"/>
      <c r="J22" s="3"/>
      <c r="K22" s="3"/>
      <c r="L22" s="3"/>
      <c r="M22" s="3"/>
    </row>
    <row r="23" spans="1:14" x14ac:dyDescent="0.25">
      <c r="A23" s="14">
        <v>22</v>
      </c>
      <c r="B23" s="9" t="s">
        <v>110</v>
      </c>
      <c r="C23" s="3"/>
      <c r="D23" s="26" t="s">
        <v>37</v>
      </c>
      <c r="E23" s="6" t="s">
        <v>38</v>
      </c>
      <c r="F23" s="8">
        <v>1</v>
      </c>
      <c r="G23" s="3">
        <v>2.8600000000000001E-3</v>
      </c>
      <c r="H23" s="10">
        <f t="shared" si="0"/>
        <v>2.8600000000000001E-3</v>
      </c>
      <c r="I23" s="16"/>
      <c r="J23" s="3"/>
      <c r="K23" s="3"/>
      <c r="L23" s="3"/>
      <c r="M23" s="3"/>
    </row>
    <row r="24" spans="1:14" x14ac:dyDescent="0.25">
      <c r="A24" s="14">
        <v>23</v>
      </c>
      <c r="B24" s="9" t="s">
        <v>111</v>
      </c>
      <c r="C24" s="3"/>
      <c r="D24" s="26" t="s">
        <v>39</v>
      </c>
      <c r="E24" s="6" t="s">
        <v>40</v>
      </c>
      <c r="F24" s="8">
        <v>1</v>
      </c>
      <c r="G24" s="3">
        <v>8.0999999999999996E-4</v>
      </c>
      <c r="H24" s="10">
        <f t="shared" si="0"/>
        <v>8.0999999999999996E-4</v>
      </c>
      <c r="I24" s="16"/>
      <c r="J24" s="3"/>
      <c r="K24" s="3"/>
      <c r="L24" s="3"/>
      <c r="M24" s="3"/>
    </row>
    <row r="25" spans="1:14" x14ac:dyDescent="0.25">
      <c r="A25" s="14">
        <v>24</v>
      </c>
      <c r="B25" s="9" t="s">
        <v>141</v>
      </c>
      <c r="C25" s="3"/>
      <c r="D25" s="26" t="s">
        <v>41</v>
      </c>
      <c r="E25" s="6" t="s">
        <v>42</v>
      </c>
      <c r="F25" s="8">
        <v>2</v>
      </c>
      <c r="G25" s="3">
        <v>8.0999999999999996E-4</v>
      </c>
      <c r="H25" s="10">
        <f t="shared" si="0"/>
        <v>1.6199999999999999E-3</v>
      </c>
      <c r="I25" s="16"/>
      <c r="J25" s="3"/>
      <c r="K25" s="3"/>
      <c r="L25" s="3"/>
      <c r="M25" s="3"/>
    </row>
    <row r="26" spans="1:14" x14ac:dyDescent="0.25">
      <c r="A26" s="14">
        <v>25</v>
      </c>
      <c r="B26" s="9" t="s">
        <v>112</v>
      </c>
      <c r="C26" s="3"/>
      <c r="D26" s="26" t="s">
        <v>43</v>
      </c>
      <c r="E26" s="6" t="s">
        <v>44</v>
      </c>
      <c r="F26" s="8">
        <v>1</v>
      </c>
      <c r="G26" s="3">
        <v>8.0999999999999996E-4</v>
      </c>
      <c r="H26" s="10">
        <f t="shared" si="0"/>
        <v>8.0999999999999996E-4</v>
      </c>
      <c r="I26" s="16"/>
      <c r="J26" s="3"/>
      <c r="K26" s="3"/>
      <c r="L26" s="3"/>
      <c r="M26" s="3"/>
    </row>
    <row r="27" spans="1:14" x14ac:dyDescent="0.25">
      <c r="A27" s="14">
        <v>26</v>
      </c>
      <c r="B27" s="9" t="s">
        <v>153</v>
      </c>
      <c r="C27" s="3"/>
      <c r="D27" s="26" t="s">
        <v>45</v>
      </c>
      <c r="E27" s="6" t="s">
        <v>46</v>
      </c>
      <c r="F27" s="8">
        <v>4</v>
      </c>
      <c r="G27" s="3">
        <v>8.0999999999999996E-4</v>
      </c>
      <c r="H27" s="10">
        <f t="shared" si="0"/>
        <v>3.2399999999999998E-3</v>
      </c>
      <c r="I27" s="16"/>
      <c r="J27" s="3"/>
      <c r="K27" s="3"/>
      <c r="L27" s="3"/>
      <c r="M27" s="3"/>
    </row>
    <row r="28" spans="1:14" x14ac:dyDescent="0.25">
      <c r="A28" s="14">
        <v>27</v>
      </c>
      <c r="B28" s="9" t="s">
        <v>113</v>
      </c>
      <c r="C28" s="3"/>
      <c r="D28" s="26" t="s">
        <v>186</v>
      </c>
      <c r="E28" s="6" t="s">
        <v>187</v>
      </c>
      <c r="F28" s="8">
        <v>1</v>
      </c>
      <c r="G28" s="3">
        <v>2.55288</v>
      </c>
      <c r="H28" s="10">
        <f t="shared" si="0"/>
        <v>2.55288</v>
      </c>
      <c r="I28" s="16"/>
      <c r="J28" s="3"/>
      <c r="K28" s="3"/>
      <c r="L28" s="3"/>
      <c r="M28" s="3"/>
    </row>
    <row r="29" spans="1:14" x14ac:dyDescent="0.25">
      <c r="A29" s="14">
        <v>28</v>
      </c>
      <c r="B29" s="9" t="s">
        <v>114</v>
      </c>
      <c r="C29" s="3"/>
      <c r="D29" s="26" t="s">
        <v>47</v>
      </c>
      <c r="E29" s="6" t="s">
        <v>48</v>
      </c>
      <c r="F29" s="8">
        <v>1</v>
      </c>
      <c r="G29" s="3">
        <v>0.30060999999999999</v>
      </c>
      <c r="H29" s="10">
        <f t="shared" si="0"/>
        <v>0.30060999999999999</v>
      </c>
      <c r="I29" s="16"/>
      <c r="J29" s="3"/>
      <c r="K29" s="3"/>
      <c r="L29" s="3"/>
      <c r="M29" s="3"/>
    </row>
    <row r="30" spans="1:14" x14ac:dyDescent="0.25">
      <c r="A30" s="14">
        <v>29</v>
      </c>
      <c r="B30" s="9" t="s">
        <v>115</v>
      </c>
      <c r="C30" s="3"/>
      <c r="D30" s="26" t="s">
        <v>49</v>
      </c>
      <c r="E30" s="6" t="s">
        <v>50</v>
      </c>
      <c r="F30" s="8">
        <v>1</v>
      </c>
      <c r="G30" s="3">
        <v>0.25335000000000002</v>
      </c>
      <c r="H30" s="10">
        <f t="shared" si="0"/>
        <v>0.25335000000000002</v>
      </c>
      <c r="I30" s="16"/>
      <c r="J30" s="3"/>
      <c r="K30" s="3"/>
      <c r="L30" s="3"/>
      <c r="M30" s="3"/>
    </row>
    <row r="31" spans="1:14" x14ac:dyDescent="0.25">
      <c r="A31" s="14">
        <v>30</v>
      </c>
      <c r="B31" s="9" t="s">
        <v>116</v>
      </c>
      <c r="C31" s="3"/>
      <c r="D31" s="26" t="s">
        <v>188</v>
      </c>
      <c r="E31" s="6" t="s">
        <v>189</v>
      </c>
      <c r="F31" s="8">
        <v>1</v>
      </c>
      <c r="G31" s="3">
        <v>0.30060999999999999</v>
      </c>
      <c r="H31" s="10">
        <f t="shared" si="0"/>
        <v>0.30060999999999999</v>
      </c>
      <c r="I31" s="16"/>
      <c r="J31" s="3"/>
      <c r="K31" s="3"/>
      <c r="L31" s="3"/>
      <c r="M31" s="3"/>
    </row>
    <row r="32" spans="1:14" x14ac:dyDescent="0.25">
      <c r="A32" s="14">
        <v>31</v>
      </c>
      <c r="B32" s="9" t="s">
        <v>117</v>
      </c>
      <c r="C32" s="3"/>
      <c r="D32" s="26" t="s">
        <v>51</v>
      </c>
      <c r="E32" s="6" t="s">
        <v>52</v>
      </c>
      <c r="F32" s="8">
        <v>1</v>
      </c>
      <c r="G32" s="3">
        <v>0.44494</v>
      </c>
      <c r="H32" s="10">
        <f t="shared" si="0"/>
        <v>0.44494</v>
      </c>
      <c r="I32" s="16"/>
      <c r="J32" s="3"/>
      <c r="K32" s="3"/>
      <c r="L32" s="3"/>
      <c r="M32" s="3"/>
      <c r="N32" s="25"/>
    </row>
    <row r="33" spans="1:14" x14ac:dyDescent="0.25">
      <c r="A33" s="14">
        <v>32</v>
      </c>
      <c r="B33" s="9" t="s">
        <v>118</v>
      </c>
      <c r="C33" s="3"/>
      <c r="D33" s="26" t="s">
        <v>190</v>
      </c>
      <c r="E33" s="6" t="s">
        <v>191</v>
      </c>
      <c r="F33" s="8">
        <v>2</v>
      </c>
      <c r="G33" s="3">
        <v>7.6740000000000003E-2</v>
      </c>
      <c r="H33" s="10">
        <f t="shared" si="0"/>
        <v>0.15348000000000001</v>
      </c>
      <c r="I33" s="16"/>
      <c r="J33" s="3"/>
      <c r="K33" s="3"/>
      <c r="L33" s="3"/>
      <c r="M33" s="3"/>
    </row>
    <row r="34" spans="1:14" x14ac:dyDescent="0.25">
      <c r="A34" s="14">
        <v>33</v>
      </c>
      <c r="B34" s="9" t="s">
        <v>119</v>
      </c>
      <c r="C34" s="3"/>
      <c r="D34" s="26" t="s">
        <v>53</v>
      </c>
      <c r="E34" s="6" t="s">
        <v>54</v>
      </c>
      <c r="F34" s="8">
        <v>1</v>
      </c>
      <c r="G34" s="3">
        <v>0.24218999999999999</v>
      </c>
      <c r="H34" s="10">
        <f t="shared" si="0"/>
        <v>0.24218999999999999</v>
      </c>
      <c r="I34" s="16"/>
      <c r="J34" s="3"/>
      <c r="K34" s="3"/>
      <c r="L34" s="3"/>
      <c r="M34" s="3"/>
      <c r="N34" s="25"/>
    </row>
    <row r="35" spans="1:14" x14ac:dyDescent="0.25">
      <c r="A35" s="14">
        <v>34</v>
      </c>
      <c r="B35" s="9" t="s">
        <v>123</v>
      </c>
      <c r="C35" s="3"/>
      <c r="D35" s="26" t="s">
        <v>55</v>
      </c>
      <c r="E35" s="6" t="s">
        <v>56</v>
      </c>
      <c r="F35" s="8">
        <v>1</v>
      </c>
      <c r="G35" s="3">
        <v>6.0019999999999997E-2</v>
      </c>
      <c r="H35" s="10">
        <f t="shared" si="0"/>
        <v>6.0019999999999997E-2</v>
      </c>
      <c r="I35" s="16"/>
      <c r="J35" s="3"/>
      <c r="K35" s="3"/>
      <c r="L35" s="3"/>
      <c r="M35" s="3"/>
      <c r="N35" s="25"/>
    </row>
    <row r="36" spans="1:14" x14ac:dyDescent="0.25">
      <c r="A36" s="14">
        <v>35</v>
      </c>
      <c r="B36" s="9" t="s">
        <v>121</v>
      </c>
      <c r="C36" s="3"/>
      <c r="D36" s="26" t="s">
        <v>57</v>
      </c>
      <c r="E36" s="6" t="s">
        <v>58</v>
      </c>
      <c r="F36" s="8">
        <v>1</v>
      </c>
      <c r="G36" s="3">
        <v>4.0994799999999998</v>
      </c>
      <c r="H36" s="10">
        <f t="shared" si="0"/>
        <v>4.0994799999999998</v>
      </c>
      <c r="I36" s="16"/>
      <c r="J36" s="3"/>
      <c r="K36" s="3">
        <f>H36</f>
        <v>4.0994799999999998</v>
      </c>
      <c r="L36" s="3"/>
      <c r="M36" s="3"/>
    </row>
    <row r="37" spans="1:14" x14ac:dyDescent="0.25">
      <c r="A37" s="14">
        <v>36</v>
      </c>
      <c r="B37" s="9" t="s">
        <v>122</v>
      </c>
      <c r="C37" s="3"/>
      <c r="D37" s="26" t="s">
        <v>59</v>
      </c>
      <c r="E37" s="6" t="s">
        <v>60</v>
      </c>
      <c r="F37" s="8">
        <v>1</v>
      </c>
      <c r="G37" s="3">
        <v>0.28670000000000001</v>
      </c>
      <c r="H37" s="10">
        <f t="shared" si="0"/>
        <v>0.28670000000000001</v>
      </c>
      <c r="I37" s="16"/>
      <c r="J37" s="3">
        <f>H37</f>
        <v>0.28670000000000001</v>
      </c>
      <c r="K37" s="3"/>
      <c r="L37" s="3"/>
      <c r="M37" s="3"/>
    </row>
    <row r="38" spans="1:14" x14ac:dyDescent="0.25">
      <c r="A38" s="14">
        <v>37</v>
      </c>
      <c r="B38" s="11" t="s">
        <v>124</v>
      </c>
      <c r="C38" s="3"/>
      <c r="D38" s="27" t="s">
        <v>87</v>
      </c>
      <c r="E38" s="6" t="s">
        <v>88</v>
      </c>
      <c r="F38" s="8">
        <v>1</v>
      </c>
      <c r="G38" s="3">
        <v>0.56223999999999996</v>
      </c>
      <c r="H38" s="10">
        <f t="shared" si="0"/>
        <v>0.56223999999999996</v>
      </c>
      <c r="I38" s="16"/>
      <c r="J38" s="3"/>
      <c r="K38" s="3"/>
      <c r="L38" s="3"/>
      <c r="M38" s="3"/>
      <c r="N38" s="25"/>
    </row>
    <row r="39" spans="1:14" x14ac:dyDescent="0.25">
      <c r="A39" s="14">
        <v>38</v>
      </c>
      <c r="B39" s="11" t="s">
        <v>120</v>
      </c>
      <c r="C39" s="3"/>
      <c r="D39" s="27" t="s">
        <v>85</v>
      </c>
      <c r="E39" s="6" t="s">
        <v>86</v>
      </c>
      <c r="F39" s="8">
        <v>1</v>
      </c>
      <c r="G39" s="3">
        <v>0.23655999999999999</v>
      </c>
      <c r="H39" s="10">
        <f t="shared" si="0"/>
        <v>0.23655999999999999</v>
      </c>
      <c r="I39" s="16"/>
      <c r="J39" s="3"/>
      <c r="K39" s="3"/>
      <c r="L39" s="3"/>
      <c r="M39" s="3"/>
    </row>
    <row r="40" spans="1:14" x14ac:dyDescent="0.25">
      <c r="A40" s="14">
        <v>39</v>
      </c>
      <c r="B40" s="9" t="s">
        <v>137</v>
      </c>
      <c r="C40" s="3"/>
      <c r="D40" s="26" t="s">
        <v>79</v>
      </c>
      <c r="E40" s="6" t="s">
        <v>80</v>
      </c>
      <c r="F40" s="8">
        <v>1</v>
      </c>
      <c r="G40" s="3">
        <v>0.13363</v>
      </c>
      <c r="H40" s="10">
        <f t="shared" si="0"/>
        <v>0.13363</v>
      </c>
      <c r="I40" s="16"/>
      <c r="J40" s="3"/>
      <c r="K40" s="3"/>
      <c r="L40" s="3"/>
      <c r="M40" s="3"/>
    </row>
    <row r="41" spans="1:14" x14ac:dyDescent="0.25">
      <c r="A41" s="14">
        <v>40</v>
      </c>
      <c r="B41" s="9" t="s">
        <v>138</v>
      </c>
      <c r="C41" s="3"/>
      <c r="D41" s="26" t="s">
        <v>81</v>
      </c>
      <c r="E41" s="6" t="s">
        <v>82</v>
      </c>
      <c r="F41" s="8">
        <v>1</v>
      </c>
      <c r="G41" s="3">
        <v>0.27829999999999999</v>
      </c>
      <c r="H41" s="10">
        <f t="shared" si="0"/>
        <v>0.27829999999999999</v>
      </c>
      <c r="I41" s="16"/>
      <c r="J41" s="3"/>
      <c r="K41" s="3"/>
      <c r="L41" s="3"/>
      <c r="M41" s="3"/>
    </row>
    <row r="42" spans="1:14" x14ac:dyDescent="0.25">
      <c r="A42" s="14">
        <v>41</v>
      </c>
      <c r="B42" s="9" t="s">
        <v>128</v>
      </c>
      <c r="C42" s="3"/>
      <c r="D42" s="26" t="s">
        <v>61</v>
      </c>
      <c r="E42" s="6" t="s">
        <v>62</v>
      </c>
      <c r="F42" s="8">
        <v>4</v>
      </c>
      <c r="G42" s="3">
        <v>2.7210000000000002E-2</v>
      </c>
      <c r="H42" s="10">
        <f t="shared" si="0"/>
        <v>0.10884000000000001</v>
      </c>
      <c r="I42" s="16"/>
      <c r="J42" s="3"/>
      <c r="K42" s="3"/>
      <c r="L42" s="3"/>
      <c r="M42" s="3"/>
    </row>
    <row r="43" spans="1:14" x14ac:dyDescent="0.25">
      <c r="A43" s="14">
        <v>42</v>
      </c>
      <c r="B43" s="9" t="s">
        <v>129</v>
      </c>
      <c r="C43" s="3"/>
      <c r="D43" s="26" t="s">
        <v>63</v>
      </c>
      <c r="E43" s="6" t="s">
        <v>64</v>
      </c>
      <c r="F43" s="8">
        <v>4</v>
      </c>
      <c r="G43" s="3">
        <v>2.2200000000000001E-2</v>
      </c>
      <c r="H43" s="10">
        <f t="shared" si="0"/>
        <v>8.8800000000000004E-2</v>
      </c>
      <c r="I43" s="16"/>
      <c r="J43" s="3"/>
      <c r="K43" s="3"/>
      <c r="L43" s="3"/>
      <c r="M43" s="3"/>
    </row>
    <row r="44" spans="1:14" x14ac:dyDescent="0.25">
      <c r="A44" s="14">
        <v>43</v>
      </c>
      <c r="B44" s="9" t="s">
        <v>130</v>
      </c>
      <c r="C44" s="3"/>
      <c r="D44" s="26" t="s">
        <v>65</v>
      </c>
      <c r="E44" s="6" t="s">
        <v>66</v>
      </c>
      <c r="F44" s="8">
        <v>3</v>
      </c>
      <c r="G44" s="3">
        <v>1.8790000000000001E-2</v>
      </c>
      <c r="H44" s="10">
        <f t="shared" si="0"/>
        <v>5.6370000000000003E-2</v>
      </c>
      <c r="I44" s="16"/>
      <c r="J44" s="3"/>
      <c r="K44" s="3"/>
      <c r="L44" s="3"/>
      <c r="M44" s="3"/>
    </row>
    <row r="45" spans="1:14" x14ac:dyDescent="0.25">
      <c r="A45" s="14">
        <v>44</v>
      </c>
      <c r="B45" s="9" t="s">
        <v>131</v>
      </c>
      <c r="C45" s="3"/>
      <c r="D45" s="26" t="s">
        <v>67</v>
      </c>
      <c r="E45" s="6" t="s">
        <v>68</v>
      </c>
      <c r="F45" s="8">
        <v>3</v>
      </c>
      <c r="G45" s="3">
        <v>2.1839999999999998E-2</v>
      </c>
      <c r="H45" s="10">
        <f t="shared" si="0"/>
        <v>6.5519999999999995E-2</v>
      </c>
      <c r="I45" s="16"/>
      <c r="J45" s="3"/>
      <c r="K45" s="3"/>
      <c r="L45" s="3"/>
      <c r="M45" s="3"/>
    </row>
    <row r="46" spans="1:14" x14ac:dyDescent="0.25">
      <c r="A46" s="14">
        <v>45</v>
      </c>
      <c r="B46" s="9" t="s">
        <v>132</v>
      </c>
      <c r="C46" s="3"/>
      <c r="D46" s="26" t="s">
        <v>69</v>
      </c>
      <c r="E46" s="6" t="s">
        <v>70</v>
      </c>
      <c r="F46" s="8">
        <v>1</v>
      </c>
      <c r="G46" s="3">
        <v>3.5499999999999997E-2</v>
      </c>
      <c r="H46" s="10">
        <f t="shared" si="0"/>
        <v>3.5499999999999997E-2</v>
      </c>
      <c r="I46" s="16"/>
      <c r="J46" s="3"/>
      <c r="K46" s="3"/>
      <c r="L46" s="3"/>
      <c r="M46" s="3"/>
    </row>
    <row r="47" spans="1:14" x14ac:dyDescent="0.25">
      <c r="A47" s="14">
        <v>46</v>
      </c>
      <c r="B47" s="9" t="s">
        <v>133</v>
      </c>
      <c r="C47" s="3"/>
      <c r="D47" s="26" t="s">
        <v>71</v>
      </c>
      <c r="E47" s="6" t="s">
        <v>72</v>
      </c>
      <c r="F47" s="8">
        <v>2</v>
      </c>
      <c r="G47" s="3">
        <v>1.1310000000000001E-2</v>
      </c>
      <c r="H47" s="10">
        <f t="shared" si="0"/>
        <v>2.2620000000000001E-2</v>
      </c>
      <c r="I47" s="16"/>
      <c r="J47" s="3"/>
      <c r="K47" s="3"/>
      <c r="L47" s="3"/>
      <c r="M47" s="3"/>
    </row>
    <row r="48" spans="1:14" x14ac:dyDescent="0.25">
      <c r="A48" s="14">
        <v>47</v>
      </c>
      <c r="B48" s="11" t="s">
        <v>125</v>
      </c>
      <c r="C48" s="3"/>
      <c r="D48" s="27" t="s">
        <v>192</v>
      </c>
      <c r="E48" s="6" t="s">
        <v>89</v>
      </c>
      <c r="F48" s="8">
        <v>1</v>
      </c>
      <c r="G48" s="3">
        <v>1.8180000000000002E-2</v>
      </c>
      <c r="H48" s="10">
        <f t="shared" si="0"/>
        <v>1.8180000000000002E-2</v>
      </c>
      <c r="I48" s="16"/>
      <c r="J48" s="3"/>
      <c r="K48" s="3"/>
      <c r="L48" s="3"/>
      <c r="M48" s="3"/>
    </row>
    <row r="49" spans="1:14" x14ac:dyDescent="0.25">
      <c r="A49" s="14">
        <v>48</v>
      </c>
      <c r="B49" s="9" t="s">
        <v>126</v>
      </c>
      <c r="C49" s="3"/>
      <c r="D49" s="26" t="s">
        <v>73</v>
      </c>
      <c r="E49" s="6" t="s">
        <v>74</v>
      </c>
      <c r="F49" s="8">
        <v>1</v>
      </c>
      <c r="G49" s="3">
        <v>0.16617999999999999</v>
      </c>
      <c r="H49" s="10">
        <f t="shared" si="0"/>
        <v>0.16617999999999999</v>
      </c>
      <c r="I49" s="16"/>
      <c r="J49" s="3"/>
      <c r="K49" s="3"/>
      <c r="L49" s="3"/>
      <c r="M49" s="3"/>
      <c r="N49" s="25"/>
    </row>
    <row r="50" spans="1:14" x14ac:dyDescent="0.25">
      <c r="A50" s="14">
        <v>49</v>
      </c>
      <c r="B50" s="12" t="s">
        <v>134</v>
      </c>
      <c r="C50" s="3"/>
      <c r="D50" s="26" t="s">
        <v>75</v>
      </c>
      <c r="E50" s="6" t="s">
        <v>76</v>
      </c>
      <c r="F50" s="8">
        <v>2</v>
      </c>
      <c r="G50" s="3">
        <v>0.24656</v>
      </c>
      <c r="H50" s="10">
        <f t="shared" si="0"/>
        <v>0.49312</v>
      </c>
      <c r="I50" s="16"/>
      <c r="J50" s="3"/>
      <c r="K50" s="3"/>
      <c r="L50" s="3"/>
      <c r="M50" s="3"/>
      <c r="N50" s="25"/>
    </row>
    <row r="51" spans="1:14" x14ac:dyDescent="0.25">
      <c r="A51" s="14">
        <v>50</v>
      </c>
      <c r="B51" s="12" t="s">
        <v>142</v>
      </c>
      <c r="C51" s="3"/>
      <c r="D51" s="26" t="s">
        <v>147</v>
      </c>
      <c r="E51" s="6" t="s">
        <v>148</v>
      </c>
      <c r="F51" s="8">
        <v>4</v>
      </c>
      <c r="G51" s="3">
        <v>0.21779999999999999</v>
      </c>
      <c r="H51" s="10">
        <f t="shared" si="0"/>
        <v>0.87119999999999997</v>
      </c>
      <c r="I51" s="16"/>
      <c r="J51" s="3"/>
      <c r="K51" s="3"/>
      <c r="L51" s="3"/>
      <c r="M51" s="3"/>
    </row>
    <row r="52" spans="1:14" x14ac:dyDescent="0.25">
      <c r="A52" s="14">
        <v>51</v>
      </c>
      <c r="B52" s="12" t="s">
        <v>135</v>
      </c>
      <c r="C52" s="3"/>
      <c r="D52" s="26" t="s">
        <v>77</v>
      </c>
      <c r="E52" s="6" t="s">
        <v>78</v>
      </c>
      <c r="F52" s="8">
        <v>1</v>
      </c>
      <c r="G52" s="3">
        <v>1.26</v>
      </c>
      <c r="H52" s="10">
        <f t="shared" si="0"/>
        <v>1.26</v>
      </c>
      <c r="I52" s="16"/>
      <c r="J52" s="3"/>
      <c r="K52" s="3">
        <f>H52</f>
        <v>1.26</v>
      </c>
      <c r="L52" s="3"/>
      <c r="M52" s="3"/>
      <c r="N52" s="25"/>
    </row>
    <row r="53" spans="1:14" x14ac:dyDescent="0.25">
      <c r="A53" s="14">
        <v>52</v>
      </c>
      <c r="B53" s="12" t="s">
        <v>144</v>
      </c>
      <c r="C53" s="3"/>
      <c r="D53" s="26" t="s">
        <v>149</v>
      </c>
      <c r="E53" s="6" t="s">
        <v>150</v>
      </c>
      <c r="F53" s="8">
        <v>1</v>
      </c>
      <c r="G53" s="3">
        <v>0.33395999999999998</v>
      </c>
      <c r="H53" s="10">
        <f t="shared" si="0"/>
        <v>0.33395999999999998</v>
      </c>
      <c r="I53" s="16"/>
      <c r="J53" s="3"/>
      <c r="K53" s="3"/>
      <c r="L53" s="3"/>
      <c r="M53" s="3"/>
    </row>
    <row r="54" spans="1:14" x14ac:dyDescent="0.25">
      <c r="A54" s="14">
        <v>53</v>
      </c>
      <c r="B54" s="12" t="s">
        <v>143</v>
      </c>
      <c r="C54" s="3"/>
      <c r="D54" s="26" t="s">
        <v>151</v>
      </c>
      <c r="E54" s="6" t="s">
        <v>152</v>
      </c>
      <c r="F54" s="8">
        <v>1</v>
      </c>
      <c r="G54" s="3">
        <v>0.95738000000000001</v>
      </c>
      <c r="H54" s="10">
        <f t="shared" si="0"/>
        <v>0.95738000000000001</v>
      </c>
      <c r="I54" s="16"/>
      <c r="J54" s="3"/>
      <c r="K54" s="3"/>
      <c r="L54" s="3"/>
      <c r="M54" s="3"/>
    </row>
    <row r="55" spans="1:14" x14ac:dyDescent="0.25">
      <c r="A55" s="14">
        <v>54</v>
      </c>
      <c r="B55" s="12" t="s">
        <v>136</v>
      </c>
      <c r="C55" s="3"/>
      <c r="D55" s="26" t="s">
        <v>145</v>
      </c>
      <c r="E55" s="6" t="s">
        <v>146</v>
      </c>
      <c r="F55" s="8">
        <v>1</v>
      </c>
      <c r="G55" s="3">
        <v>0.10956</v>
      </c>
      <c r="H55" s="10">
        <f t="shared" si="0"/>
        <v>0.10956</v>
      </c>
      <c r="I55" s="16"/>
      <c r="J55" s="3"/>
      <c r="K55" s="3"/>
      <c r="L55" s="3"/>
      <c r="M55" s="3"/>
      <c r="N55" s="25"/>
    </row>
    <row r="56" spans="1:14" x14ac:dyDescent="0.25">
      <c r="A56" s="14">
        <v>55</v>
      </c>
      <c r="B56" s="13" t="s">
        <v>139</v>
      </c>
      <c r="C56" s="3"/>
      <c r="D56" s="26" t="s">
        <v>83</v>
      </c>
      <c r="E56" s="6" t="s">
        <v>84</v>
      </c>
      <c r="F56" s="8">
        <v>1</v>
      </c>
      <c r="G56" s="3">
        <v>0.20630999999999999</v>
      </c>
      <c r="H56" s="10">
        <f t="shared" si="0"/>
        <v>0.20630999999999999</v>
      </c>
      <c r="I56" s="16"/>
      <c r="J56" s="3"/>
      <c r="K56" s="3"/>
      <c r="L56" s="3"/>
      <c r="M56" s="3"/>
      <c r="N56" s="25"/>
    </row>
    <row r="57" spans="1:14" x14ac:dyDescent="0.25">
      <c r="A57" s="14">
        <v>56</v>
      </c>
      <c r="B57" s="13" t="s">
        <v>127</v>
      </c>
      <c r="C57" s="11"/>
      <c r="D57" s="26" t="s">
        <v>155</v>
      </c>
      <c r="E57" s="6"/>
      <c r="F57" s="8">
        <v>1</v>
      </c>
      <c r="G57" s="3">
        <v>0.5</v>
      </c>
      <c r="H57" s="10">
        <f t="shared" si="0"/>
        <v>0.5</v>
      </c>
      <c r="I57" s="16"/>
      <c r="J57" s="3"/>
      <c r="K57" s="3"/>
      <c r="L57" s="3"/>
      <c r="M57" s="3"/>
      <c r="N57" s="25"/>
    </row>
    <row r="58" spans="1:14" x14ac:dyDescent="0.25">
      <c r="A58" s="14">
        <v>57</v>
      </c>
      <c r="B58" s="11" t="s">
        <v>154</v>
      </c>
      <c r="C58" s="11"/>
      <c r="D58" s="28" t="s">
        <v>157</v>
      </c>
      <c r="E58" s="11" t="s">
        <v>156</v>
      </c>
      <c r="F58" s="3">
        <v>1</v>
      </c>
      <c r="G58" s="3">
        <v>1.7569999999999999E-2</v>
      </c>
      <c r="H58" s="10">
        <f t="shared" si="0"/>
        <v>1.7569999999999999E-2</v>
      </c>
      <c r="I58" s="16"/>
      <c r="J58" s="3"/>
      <c r="K58" s="3"/>
      <c r="L58" s="3"/>
      <c r="M58" s="3"/>
    </row>
    <row r="59" spans="1:14" x14ac:dyDescent="0.25">
      <c r="A59" s="14">
        <v>58</v>
      </c>
      <c r="B59" s="11" t="s">
        <v>158</v>
      </c>
      <c r="C59" s="11"/>
      <c r="D59" s="28" t="s">
        <v>159</v>
      </c>
      <c r="E59" s="11" t="s">
        <v>160</v>
      </c>
      <c r="F59" s="3">
        <v>1</v>
      </c>
      <c r="G59" s="3">
        <v>2.42</v>
      </c>
      <c r="H59" s="3">
        <f t="shared" si="0"/>
        <v>2.42</v>
      </c>
      <c r="I59" s="16"/>
      <c r="J59" s="3"/>
      <c r="K59" s="3"/>
      <c r="L59" s="3"/>
      <c r="M59" s="3"/>
    </row>
    <row r="60" spans="1:14" x14ac:dyDescent="0.25">
      <c r="A60" s="14">
        <v>59</v>
      </c>
      <c r="B60" s="11" t="s">
        <v>161</v>
      </c>
      <c r="C60" s="11"/>
      <c r="D60" s="11"/>
      <c r="E60" s="11" t="s">
        <v>162</v>
      </c>
      <c r="F60" s="3">
        <v>1</v>
      </c>
      <c r="G60" s="3">
        <v>1.2170000000000001</v>
      </c>
      <c r="H60" s="3">
        <f t="shared" si="0"/>
        <v>1.2170000000000001</v>
      </c>
      <c r="I60" s="16"/>
      <c r="J60" s="3"/>
      <c r="K60" s="3"/>
      <c r="L60" s="3"/>
      <c r="M60" s="3"/>
    </row>
    <row r="61" spans="1:14" x14ac:dyDescent="0.25">
      <c r="A61" s="14">
        <v>60</v>
      </c>
      <c r="B61" s="11" t="s">
        <v>163</v>
      </c>
      <c r="C61" s="11"/>
      <c r="D61" s="11"/>
      <c r="E61" s="11"/>
      <c r="F61" s="3">
        <v>2</v>
      </c>
      <c r="G61" s="3">
        <v>0.50819999999999999</v>
      </c>
      <c r="H61" s="3">
        <f t="shared" si="0"/>
        <v>1.0164</v>
      </c>
      <c r="I61" s="16"/>
      <c r="J61" s="3"/>
      <c r="K61" s="3"/>
      <c r="L61" s="3">
        <f>H61</f>
        <v>1.0164</v>
      </c>
      <c r="M61" s="3"/>
    </row>
    <row r="62" spans="1:14" x14ac:dyDescent="0.25">
      <c r="A62" s="14">
        <v>61</v>
      </c>
      <c r="B62" s="11" t="s">
        <v>164</v>
      </c>
      <c r="C62" s="11"/>
      <c r="D62" s="7"/>
      <c r="E62" s="6"/>
      <c r="F62" s="8">
        <v>2</v>
      </c>
      <c r="G62" s="3">
        <v>2.75</v>
      </c>
      <c r="H62" s="3">
        <f t="shared" si="0"/>
        <v>5.5</v>
      </c>
      <c r="I62" s="16"/>
      <c r="J62" s="3"/>
      <c r="K62" s="3"/>
      <c r="L62" s="3">
        <f>H62</f>
        <v>5.5</v>
      </c>
      <c r="M62" s="3"/>
    </row>
    <row r="63" spans="1:14" x14ac:dyDescent="0.25">
      <c r="A63" s="14">
        <v>62</v>
      </c>
      <c r="B63" s="11" t="s">
        <v>165</v>
      </c>
      <c r="C63" s="11"/>
      <c r="D63" s="11"/>
      <c r="E63" s="11"/>
      <c r="F63" s="3">
        <v>2</v>
      </c>
      <c r="G63" s="3">
        <v>5</v>
      </c>
      <c r="H63" s="3">
        <f t="shared" si="0"/>
        <v>10</v>
      </c>
      <c r="I63" s="16"/>
      <c r="J63" s="3"/>
      <c r="K63" s="3"/>
      <c r="L63" s="3"/>
      <c r="M63" s="3">
        <f>H63</f>
        <v>10</v>
      </c>
    </row>
    <row r="64" spans="1:14" x14ac:dyDescent="0.25">
      <c r="A64" s="14">
        <v>63</v>
      </c>
      <c r="B64" s="11"/>
      <c r="C64" s="11"/>
      <c r="D64" s="11"/>
      <c r="E64" s="11"/>
      <c r="F64" s="3"/>
      <c r="G64" s="3"/>
      <c r="H64" s="3">
        <f t="shared" si="0"/>
        <v>0</v>
      </c>
      <c r="I64" s="16"/>
      <c r="J64" s="3"/>
      <c r="K64" s="3"/>
      <c r="L64" s="3"/>
      <c r="M64" s="3"/>
    </row>
    <row r="65" spans="1:13" x14ac:dyDescent="0.25">
      <c r="A65" s="14">
        <v>64</v>
      </c>
      <c r="B65" s="11"/>
      <c r="C65" s="11"/>
      <c r="D65" s="11"/>
      <c r="E65" s="11"/>
      <c r="F65" s="3"/>
      <c r="G65" s="3"/>
      <c r="H65" s="3">
        <f t="shared" si="0"/>
        <v>0</v>
      </c>
      <c r="I65" s="16"/>
      <c r="J65" s="3"/>
      <c r="K65" s="3"/>
      <c r="L65" s="3"/>
      <c r="M65" s="3"/>
    </row>
    <row r="66" spans="1:13" x14ac:dyDescent="0.25">
      <c r="A66" s="14">
        <v>65</v>
      </c>
      <c r="B66" s="11"/>
      <c r="C66" s="11"/>
      <c r="D66" s="11"/>
      <c r="E66" s="11"/>
      <c r="F66" s="3"/>
      <c r="G66" s="3"/>
      <c r="H66" s="3">
        <f t="shared" si="0"/>
        <v>0</v>
      </c>
      <c r="I66" s="16"/>
      <c r="J66" s="3"/>
      <c r="K66" s="3"/>
      <c r="L66" s="3"/>
      <c r="M66" s="3"/>
    </row>
    <row r="67" spans="1:13" x14ac:dyDescent="0.25">
      <c r="A67" s="18" t="s">
        <v>10</v>
      </c>
      <c r="B67" s="18"/>
      <c r="C67" s="18"/>
      <c r="D67" s="18"/>
      <c r="E67" s="18"/>
      <c r="F67" s="18"/>
      <c r="G67" s="18"/>
      <c r="H67" s="2">
        <f>SUM(H2:H66)</f>
        <v>40.479790000000008</v>
      </c>
      <c r="I67" s="16"/>
      <c r="J67" s="3">
        <f>SUM(J2:J66)</f>
        <v>1.9818799999999999</v>
      </c>
      <c r="K67" s="3">
        <f>SUM(K2:K66)</f>
        <v>5.3594799999999996</v>
      </c>
      <c r="L67" s="3">
        <f>SUM(L2:L66)</f>
        <v>6.5164</v>
      </c>
      <c r="M67" s="3">
        <f>SUM(M2:M66)</f>
        <v>10</v>
      </c>
    </row>
    <row r="68" spans="1:13" x14ac:dyDescent="0.25">
      <c r="A68" s="19" t="s">
        <v>8</v>
      </c>
      <c r="B68" s="20"/>
      <c r="C68" s="20"/>
      <c r="D68" s="20"/>
      <c r="E68" s="20"/>
      <c r="F68" s="21"/>
      <c r="G68" s="4">
        <v>18</v>
      </c>
      <c r="H68" s="2">
        <f>H67*G68/100</f>
        <v>7.286362200000001</v>
      </c>
      <c r="I68" s="16"/>
      <c r="J68" s="3"/>
      <c r="K68" s="3"/>
      <c r="L68" s="3"/>
      <c r="M68" s="3"/>
    </row>
    <row r="69" spans="1:13" ht="15.75" x14ac:dyDescent="0.25">
      <c r="A69" s="22" t="s">
        <v>9</v>
      </c>
      <c r="B69" s="23"/>
      <c r="C69" s="23"/>
      <c r="D69" s="23"/>
      <c r="E69" s="23"/>
      <c r="F69" s="23"/>
      <c r="G69" s="24"/>
      <c r="H69" s="5">
        <f>SUM(H67:H68)</f>
        <v>47.766152200000008</v>
      </c>
      <c r="I69" s="16"/>
      <c r="J69" s="3">
        <f>H69-J67</f>
        <v>45.784272200000011</v>
      </c>
      <c r="K69" s="3">
        <f>H69-K67-J67</f>
        <v>40.424792200000013</v>
      </c>
      <c r="L69" s="3">
        <f>H69-L67-J67</f>
        <v>39.267872200000014</v>
      </c>
      <c r="M69" s="3">
        <f>H69-M67-J67</f>
        <v>35.784272200000011</v>
      </c>
    </row>
  </sheetData>
  <mergeCells count="3">
    <mergeCell ref="A67:G67"/>
    <mergeCell ref="A68:F68"/>
    <mergeCell ref="A69:G69"/>
  </mergeCells>
  <pageMargins left="0.70866141732283472" right="0.70866141732283472" top="0.74803149606299213" bottom="0.74803149606299213" header="0.31496062992125984" footer="0.31496062992125984"/>
  <pageSetup scale="4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2021-01-21T22:41:57Z</dcterms:modified>
</cp:coreProperties>
</file>